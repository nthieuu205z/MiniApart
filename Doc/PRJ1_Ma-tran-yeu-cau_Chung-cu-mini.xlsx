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9.xml.rels" ContentType="application/vnd.openxmlformats-package.relationships+xml"/>
  <Override PartName="/xl/worksheets/_rels/sheet8.xml.rels" ContentType="application/vnd.openxmlformats-package.relationships+xml"/>
  <Override PartName="/xl/worksheets/_rels/sheet7.xml.rels" ContentType="application/vnd.openxmlformats-package.relationships+xml"/>
  <Override PartName="/xl/worksheets/_rels/sheet6.xml.rels" ContentType="application/vnd.openxmlformats-package.relationships+xml"/>
  <Override PartName="/xl/worksheets/_rels/sheet5.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Huong dan" sheetId="1" state="visible" r:id="rId3"/>
    <sheet name="Stakeholder" sheetId="2" state="visible" r:id="rId4"/>
    <sheet name="User Story" sheetId="3" state="visible" r:id="rId5"/>
    <sheet name="FR" sheetId="4" state="visible" r:id="rId6"/>
    <sheet name="NFR" sheetId="5" state="visible" r:id="rId7"/>
    <sheet name="Business Rule" sheetId="6" state="visible" r:id="rId8"/>
    <sheet name="Truy vet" sheetId="7" state="visible" r:id="rId9"/>
    <sheet name="Ke hoach" sheetId="8" state="visible" r:id="rId10"/>
    <sheet name="Rui ro" sheetId="9" state="visible" r:id="rId11"/>
  </sheets>
  <definedNames>
    <definedName function="false" hidden="true" localSheetId="5" name="_xlnm._FilterDatabase" vbProcedure="false">'Business Rule'!$A$1:$D$24</definedName>
    <definedName function="false" hidden="true" localSheetId="3" name="_xlnm._FilterDatabase" vbProcedure="false">FR!$A$1:$F$94</definedName>
    <definedName function="false" hidden="true" localSheetId="7" name="_xlnm._FilterDatabase" vbProcedure="false">'Ke hoach'!$A$1:$F$14</definedName>
    <definedName function="false" hidden="true" localSheetId="4" name="_xlnm._FilterDatabase" vbProcedure="false">NFR!$A$1:$D$37</definedName>
    <definedName function="false" hidden="true" localSheetId="8" name="_xlnm._FilterDatabase" vbProcedure="false">'Rui ro'!$A$1:$E$8</definedName>
    <definedName function="false" hidden="true" localSheetId="1" name="_xlnm._FilterDatabase" vbProcedure="false">Stakeholder!$A$1:$H$16</definedName>
    <definedName function="false" hidden="true" localSheetId="6" name="_xlnm._FilterDatabase" vbProcedure="false">'Truy vet'!$A$1:$G$24</definedName>
    <definedName function="false" hidden="true" localSheetId="2" name="_xlnm._FilterDatabase" vbProcedure="false">'User Story'!$A$1:$I$38</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<sst xmlns="http://schemas.openxmlformats.org/spreadsheetml/2006/main" count="1552" uniqueCount="838">
  <si>
    <t xml:space="preserve">MA TRẬN YÊU CẦU — HỆ THỐNG QUẢN LÝ, VẬN HÀNH CHUNG CƯ MINI</t>
  </si>
  <si>
    <t xml:space="preserve">Dự án PRJ1-CCM · Bài 2: Phân tích yêu cầu · Phiên bản 1.0</t>
  </si>
  <si>
    <t xml:space="preserve">THỐNG KÊ TỰ ĐỘNG</t>
  </si>
  <si>
    <t xml:space="preserve">CÁCH DÙNG FILE NÀY</t>
  </si>
  <si>
    <t xml:space="preserve">Tổng số user story</t>
  </si>
  <si>
    <t xml:space="preserve">Sheet "User Story"</t>
  </si>
  <si>
    <t xml:space="preserve">Danh sách 37 user story kèm tiêu chí chấp nhận. Cột "Trạng thái" là ô các bạn tự cập nhật khi lập trình.</t>
  </si>
  <si>
    <t xml:space="preserve">  · Must have</t>
  </si>
  <si>
    <t xml:space="preserve">Sheet "FR"</t>
  </si>
  <si>
    <t xml:space="preserve">Yêu cầu chức năng, có mã truy về user story nguồn.</t>
  </si>
  <si>
    <t xml:space="preserve">  · Should have</t>
  </si>
  <si>
    <t xml:space="preserve">Sheet "NFR"</t>
  </si>
  <si>
    <t xml:space="preserve">Yêu cầu phi chức năng kèm cách đo — dùng làm căn cứ nghiệm thu.</t>
  </si>
  <si>
    <t xml:space="preserve">  · Could have</t>
  </si>
  <si>
    <t xml:space="preserve">Sheet "Business Rule"</t>
  </si>
  <si>
    <t xml:space="preserve">Quy tắc nghiệp vụ, đặc biệt là công thức tính tiền. Đọc kỹ trước khi code.</t>
  </si>
  <si>
    <t xml:space="preserve">Tổng điểm ước lượng (SP)</t>
  </si>
  <si>
    <t xml:space="preserve">Sheet "Truy vet"</t>
  </si>
  <si>
    <t xml:space="preserve">Ma trận truy vết hai chiều: Mục tiêu → Phát hiện → US → FR → Ca kiểm thử.</t>
  </si>
  <si>
    <t xml:space="preserve">  · SP của nhóm Must have</t>
  </si>
  <si>
    <t xml:space="preserve">Sheet "Stakeholder"</t>
  </si>
  <si>
    <t xml:space="preserve">Danh sách bên liên quan và phương pháp thu thập tương ứng.</t>
  </si>
  <si>
    <t xml:space="preserve">Tổng số yêu cầu chức năng</t>
  </si>
  <si>
    <t xml:space="preserve">Sheet "Ke hoach"</t>
  </si>
  <si>
    <t xml:space="preserve">Phân công 2 tuần cho nhóm 4 người. Cột "Người phụ trách" cần điền tên thật.</t>
  </si>
  <si>
    <t xml:space="preserve">Sheet "Rui ro"</t>
  </si>
  <si>
    <t xml:space="preserve">Rủi ro dự án và biện pháp giảm thiểu.</t>
  </si>
  <si>
    <t xml:space="preserve">QUY ƯỚC MÃ HOÁ</t>
  </si>
  <si>
    <t xml:space="preserve">Tổng số yêu cầu phi chức năng</t>
  </si>
  <si>
    <t xml:space="preserve">US-xx</t>
  </si>
  <si>
    <t xml:space="preserve">User Story</t>
  </si>
  <si>
    <t xml:space="preserve">Tổng số quy tắc nghiệp vụ</t>
  </si>
  <si>
    <t xml:space="preserve">FR-&lt;MOD&gt;-xx</t>
  </si>
  <si>
    <t xml:space="preserve">Yêu cầu chức năng, MOD là mã module (AUT, BLD, TNT, MTR, INV, MNT, NTF, POR, RPT, SEC)</t>
  </si>
  <si>
    <t xml:space="preserve">Số US đã hoàn thành</t>
  </si>
  <si>
    <t xml:space="preserve">NFR-&lt;CAT&gt;-xx</t>
  </si>
  <si>
    <t xml:space="preserve">Yêu cầu phi chức năng, CAT là nhóm (PER, USA, SEC, REL, MNT, COM, CMP)</t>
  </si>
  <si>
    <t xml:space="preserve">Tiến độ hoàn thành</t>
  </si>
  <si>
    <t xml:space="preserve">BR-xx</t>
  </si>
  <si>
    <t xml:space="preserve">Quy tắc nghiệp vụ (Business Rule)</t>
  </si>
  <si>
    <t xml:space="preserve">TC-xxx-xx</t>
  </si>
  <si>
    <t xml:space="preserve">Ca kiểm thử (Test Case)</t>
  </si>
  <si>
    <t xml:space="preserve">MỨC ƯU TIÊN (MoSCoW)</t>
  </si>
  <si>
    <t xml:space="preserve">M · Must have</t>
  </si>
  <si>
    <t xml:space="preserve">Bắt buộc có ở bản 1.0. Thiếu một mục là sản phẩm không dùng được.</t>
  </si>
  <si>
    <t xml:space="preserve">S · Should have</t>
  </si>
  <si>
    <t xml:space="preserve">Nên có. Bỏ được nếu thiếu thời gian, nhưng sản phẩm kém giá trị.</t>
  </si>
  <si>
    <t xml:space="preserve">C · Could have</t>
  </si>
  <si>
    <t xml:space="preserve">Làm nếu còn thời gian.</t>
  </si>
  <si>
    <t xml:space="preserve">W · Won't have</t>
  </si>
  <si>
    <t xml:space="preserve">Đã thống nhất không làm ở phiên bản này.</t>
  </si>
  <si>
    <t xml:space="preserve">Ô cần các bạn tự điền</t>
  </si>
  <si>
    <t xml:space="preserve">Được tô nền vàng ở các sheet.</t>
  </si>
  <si>
    <t xml:space="preserve">Mã</t>
  </si>
  <si>
    <t xml:space="preserve">Bên liên quan</t>
  </si>
  <si>
    <t xml:space="preserve">Lớp</t>
  </si>
  <si>
    <t xml:space="preserve">Quyền lực</t>
  </si>
  <si>
    <t xml:space="preserve">Quan tâm</t>
  </si>
  <si>
    <t xml:space="preserve">Mối quan tâm chính</t>
  </si>
  <si>
    <t xml:space="preserve">Phương pháp thu thập</t>
  </si>
  <si>
    <t xml:space="preserve">Là actor?</t>
  </si>
  <si>
    <t xml:space="preserve">SH-01</t>
  </si>
  <si>
    <t xml:space="preserve">Chủ sở hữu</t>
  </si>
  <si>
    <t xml:space="preserve">Trong — người dùng trực tiếp</t>
  </si>
  <si>
    <t xml:space="preserve">Cao</t>
  </si>
  <si>
    <t xml:space="preserve">Dòng tiền, công nợ, hiệu quả từng toà</t>
  </si>
  <si>
    <t xml:space="preserve">Phỏng vấn sâu</t>
  </si>
  <si>
    <t xml:space="preserve">Có</t>
  </si>
  <si>
    <t xml:space="preserve">SH-02</t>
  </si>
  <si>
    <t xml:space="preserve">Quản lý toà nhà</t>
  </si>
  <si>
    <t xml:space="preserve">Giảm việc thủ công, ghi số nhanh, thu tiền đủ</t>
  </si>
  <si>
    <t xml:space="preserve">Phỏng vấn sâu + Quan sát</t>
  </si>
  <si>
    <t xml:space="preserve">SH-03</t>
  </si>
  <si>
    <t xml:space="preserve">Người thuê</t>
  </si>
  <si>
    <t xml:space="preserve">Thấp</t>
  </si>
  <si>
    <t xml:space="preserve">Minh bạch hoá đơn, sự cố được xử lý</t>
  </si>
  <si>
    <t xml:space="preserve">Bảng hỏi + Phỏng vấn ngắn</t>
  </si>
  <si>
    <t xml:space="preserve">SH-04</t>
  </si>
  <si>
    <t xml:space="preserve">Người ở cùng</t>
  </si>
  <si>
    <t xml:space="preserve">Trung bình</t>
  </si>
  <si>
    <t xml:space="preserve">Nhận thông báo chung</t>
  </si>
  <si>
    <t xml:space="preserve">Bảng hỏi</t>
  </si>
  <si>
    <t xml:space="preserve">Có (quyền hạn chế)</t>
  </si>
  <si>
    <t xml:space="preserve">SH-05</t>
  </si>
  <si>
    <t xml:space="preserve">Nhân viên kỹ thuật / thợ sửa chữa</t>
  </si>
  <si>
    <t xml:space="preserve">Biết việc cần làm ở đâu, báo kết quả</t>
  </si>
  <si>
    <t xml:space="preserve">Phỏng vấn ngắn</t>
  </si>
  <si>
    <t xml:space="preserve">SH-06</t>
  </si>
  <si>
    <t xml:space="preserve">Quản trị hệ thống</t>
  </si>
  <si>
    <t xml:space="preserve">Quản lý tài khoản, cấu hình</t>
  </si>
  <si>
    <t xml:space="preserve">Nội bộ nhóm</t>
  </si>
  <si>
    <t xml:space="preserve">SH-07</t>
  </si>
  <si>
    <t xml:space="preserve">Người đi tìm phòng</t>
  </si>
  <si>
    <t xml:space="preserve">Ngoài</t>
  </si>
  <si>
    <t xml:space="preserve">Biết phòng trống và giá</t>
  </si>
  <si>
    <t xml:space="preserve">Không (bản 1.0)</t>
  </si>
  <si>
    <t xml:space="preserve">SH-08</t>
  </si>
  <si>
    <t xml:space="preserve">Công ty điện lực, cấp nước</t>
  </si>
  <si>
    <t xml:space="preserve">Thu đúng tiền theo công tơ tổng</t>
  </si>
  <si>
    <t xml:space="preserve">Phân tích tài liệu</t>
  </si>
  <si>
    <t xml:space="preserve">Không</t>
  </si>
  <si>
    <t xml:space="preserve">SH-09</t>
  </si>
  <si>
    <t xml:space="preserve">Ngân hàng</t>
  </si>
  <si>
    <t xml:space="preserve">Giao dịch chuyển khoản</t>
  </si>
  <si>
    <t xml:space="preserve">Phân tích tài liệu (sao kê)</t>
  </si>
  <si>
    <t xml:space="preserve">SH-10</t>
  </si>
  <si>
    <t xml:space="preserve">Nhà cung cấp internet, thu gom rác</t>
  </si>
  <si>
    <t xml:space="preserve">Chu kỳ thanh toán dịch vụ</t>
  </si>
  <si>
    <t xml:space="preserve">SH-11</t>
  </si>
  <si>
    <t xml:space="preserve">Hàng xóm, tổ dân phố</t>
  </si>
  <si>
    <t xml:space="preserve">An ninh trật tự</t>
  </si>
  <si>
    <t xml:space="preserve">Không thu thập trực tiếp</t>
  </si>
  <si>
    <t xml:space="preserve">SH-12</t>
  </si>
  <si>
    <t xml:space="preserve">Cơ quan Công an (quản lý cư trú)</t>
  </si>
  <si>
    <t xml:space="preserve">Ràng buộc</t>
  </si>
  <si>
    <t xml:space="preserve">Nắm và khai báo thông tin lưu trú</t>
  </si>
  <si>
    <t xml:space="preserve">Phân tích văn bản pháp quy</t>
  </si>
  <si>
    <t xml:space="preserve">SH-13</t>
  </si>
  <si>
    <t xml:space="preserve">Cơ quan Cảnh sát PCCC</t>
  </si>
  <si>
    <t xml:space="preserve">Hồ sơ PCCC, tự kiểm tra định kỳ</t>
  </si>
  <si>
    <t xml:space="preserve">SH-14</t>
  </si>
  <si>
    <t xml:space="preserve">Cơ quan quản lý giá điện</t>
  </si>
  <si>
    <t xml:space="preserve">Thu tiền điện đúng giá quy định</t>
  </si>
  <si>
    <t xml:space="preserve">SH-15</t>
  </si>
  <si>
    <t xml:space="preserve">Giảng viên hướng dẫn</t>
  </si>
  <si>
    <t xml:space="preserve">Tài liệu đúng cấu trúc, đủ hạng mục</t>
  </si>
  <si>
    <t xml:space="preserve">Trao đổi trực tiếp</t>
  </si>
  <si>
    <t xml:space="preserve">Mã US</t>
  </si>
  <si>
    <t xml:space="preserve">Epic</t>
  </si>
  <si>
    <t xml:space="preserve">Tên</t>
  </si>
  <si>
    <t xml:space="preserve">Ưu tiên</t>
  </si>
  <si>
    <t xml:space="preserve">SP</t>
  </si>
  <si>
    <t xml:space="preserve">User story</t>
  </si>
  <si>
    <t xml:space="preserve">Trạng thái</t>
  </si>
  <si>
    <t xml:space="preserve">Số AC</t>
  </si>
  <si>
    <t xml:space="preserve">Tiêu chí chấp nhận</t>
  </si>
  <si>
    <t xml:space="preserve">US-01</t>
  </si>
  <si>
    <t xml:space="preserve">EP-01 · Quản trị người dùng và phân quyền</t>
  </si>
  <si>
    <t xml:space="preserve">Đăng nhập hệ thống</t>
  </si>
  <si>
    <t xml:space="preserve">Với tư cách là người dùng đã có tài khoản, tôi muốn đăng nhập bằng số điện thoại và mật khẩu, để truy cập đúng phần dữ liệu mà tôi được phép xem.</t>
  </si>
  <si>
    <t xml:space="preserve">Chưa bắt đầu</t>
  </si>
  <si>
    <t xml:space="preserve">• Khi người dùng nhập đúng số điện thoại và mật khẩu, thì hệ thống chuyển đến màn hình chính tương ứng với vai trò của họ (chủ → tổng quan nhiều toà; quản lý → toà được giao; người thuê → cổng người thuê).
• Khi người dùng nhập sai mật khẩu, thì hệ thống báo "Số điện thoại hoặc mật khẩu không đúng" mà **không tiết lộ** trường nào sai.
• Khi người dùng nhập sai 5 lần liên tiếp trong 15 phút, thì hệ thống tạm khoá đăng nhập trong 15 phút và ghi nhật ký.
• Khi tài khoản đang ở trạng thái "Ngừng hoạt động", thì hệ thống từ chối đăng nhập và hiển thị hướng dẫn liên hệ quản lý.
• Khi người dùng bấm "Quên mật khẩu", thì hệ thống gửi mã xác thực dùng một lần, hiệu lực 5 phút.
• Mật khẩu phải được lưu dưới dạng băm (hash), không lưu bản rõ.</t>
  </si>
  <si>
    <t xml:space="preserve">US-02</t>
  </si>
  <si>
    <t xml:space="preserve">Phân quyền theo vai trò và theo toà nhà</t>
  </si>
  <si>
    <t xml:space="preserve">Với tư cách là chủ sở hữu, tôi muốn giao cho mỗi người quản lý quyền truy cập đúng những toà nhà họ phụ trách, để không ai xem hoặc sửa được dữ liệu toà nhà không thuộc trách nhiệm của mình.</t>
  </si>
  <si>
    <t xml:space="preserve">• Khi chủ tạo tài khoản quản lý và chọn toà A, thì tài khoản đó chỉ nhìn thấy dữ liệu của toà A trong mọi màn hình danh sách, tìm kiếm và báo cáo.
• Khi người quản lý cố truy cập trực tiếp đường dẫn tới dữ liệu của toà B, thì hệ thống trả về lỗi "Không có quyền truy cập" và ghi nhật ký lần truy cập đó.
• Khi chủ thu hồi quyền của một quản lý, thì phiên đăng nhập hiện tại của người đó mất quyền chậm nhất sau 5 phút.
• Khi chủ gán một quản lý cho nhiều toà, thì người đó chuyển đổi giữa các toà bằng một bộ chọn ở đầu màn hình.
• Chỉ vai trò Chủ sở hữu và Quản trị hệ thống được phép tạo, sửa, khoá tài khoản.</t>
  </si>
  <si>
    <t xml:space="preserve">US-03</t>
  </si>
  <si>
    <t xml:space="preserve">Quản lý danh sách tài khoản</t>
  </si>
  <si>
    <t xml:space="preserve">Với tư cách là chủ sở hữu, tôi muốn xem, tạo, khoá tài khoản người dùng, để kiểm soát ai đang có quyền vào hệ thống.</t>
  </si>
  <si>
    <t xml:space="preserve">• Khi chủ mở màn hình tài khoản, thì hệ thống hiển thị danh sách gồm: họ tên, số điện thoại, vai trò, toà được giao, trạng thái, lần đăng nhập gần nhất.
• Khi chủ tạo tài khoản với số điện thoại đã tồn tại, thì hệ thống báo lỗi "Số điện thoại đã được sử dụng".
• Khi chủ khoá một tài khoản, thì tài khoản đó bị đăng xuất khỏi mọi thiết bị ngay lập tức.
• Hệ thống không cho phép xoá vĩnh viễn tài khoản đã phát sinh dữ liệu, chỉ cho chuyển sang trạng thái "Ngừng hoạt động".</t>
  </si>
  <si>
    <t xml:space="preserve">US-04</t>
  </si>
  <si>
    <t xml:space="preserve">EP-02 · Danh mục toà nhà, phòng, dịch vụ</t>
  </si>
  <si>
    <t xml:space="preserve">Với tư cách là chủ sở hữu, tôi muốn khai báo các toà nhà của mình cùng cấu hình riêng của từng toà, để mỗi toà vận hành theo đúng quy định của nó.</t>
  </si>
  <si>
    <t xml:space="preserve">• Khi chủ thêm một toà nhà, thì hệ thống yêu cầu tối thiểu: tên toà, địa chỉ, số tầng, ngày chốt số mặc định, hạn thanh toán mặc định.
• Khi chủ đặt ngày chốt số là 28, thì mọi kỳ hoá đơn của toà đó mặc định lấy mốc ngày 28 hằng tháng.
• Khi chủ nhập số tầng lớn hơn 20 hoặc nhỏ hơn 1, thì hệ thống báo lỗi giá trị không hợp lệ.
• Khi chủ xoá một toà nhà đã có phòng, thì hệ thống từ chối và gợi ý chuyển toà sang trạng thái "Ngừng hoạt động".</t>
  </si>
  <si>
    <t xml:space="preserve">US-05</t>
  </si>
  <si>
    <t xml:space="preserve">Quản lý phòng và sơ đồ phòng</t>
  </si>
  <si>
    <t xml:space="preserve">Với tư cách là quản lý toà nhà, tôi muốn xem sơ đồ tất cả các phòng với trạng thái trực quan, để biết ngay phòng nào trống, phòng nào đã thuê, phòng nào đang sửa.</t>
  </si>
  <si>
    <t xml:space="preserve">• Khi quản lý mở màn hình sơ đồ, thì các phòng được nhóm theo tầng, mỗi ô hiển thị: số phòng, trạng thái bằng màu, tên người thuê hiện tại, tình trạng đóng tiền kỳ hiện tại.
• Khi quản lý bấm vào một phòng, thì hệ thống hiển thị chi tiết: diện tích, giá thuê, sức chứa, hợp đồng hiện tại, lịch sử chỉ số 6 kỳ gần nhất, lịch sử sự cố.
• Khi một phòng có hợp đồng hiệu lực, thì trạng thái tự động chuyển thành "Đang thuê", không cho sửa tay.
• Khi quản lý tạo phòng có số phòng trùng trong cùng một toà, thì hệ thống báo lỗi trùng.
• Trạng thái phòng gồm: Trống · Đang thuê · Đã đặt cọc · Đang sửa chữa · Ngừng cho thuê.</t>
  </si>
  <si>
    <t xml:space="preserve">US-06</t>
  </si>
  <si>
    <t xml:space="preserve">Quản lý danh mục dịch vụ và biểu giá</t>
  </si>
  <si>
    <t xml:space="preserve">Với tư cách là chủ sở hữu, tôi muốn khai báo các loại dịch vụ và đơn giá kèm ngày hiệu lực, để khi tăng giá dịch vụ thì các hoá đơn cũ vẫn giữ nguyên đơn giá tại thời điểm phát hành.</t>
  </si>
  <si>
    <t xml:space="preserve">• Khi chủ tạo một dịch vụ, thì phải chọn cách tính: **theo chỉ số** (điện, nước), **cố định theo phòng** (rác, internet, quản lý), **theo đầu người** (nước tính theo người), hoặc **theo số lượng** (gửi xe).
• Khi chủ đổi đơn giá điện từ 3.500 đ lên 3.800 đ với ngày hiệu lực 01/09, thì mọi hoá đơn kỳ tháng 8 vẫn dùng 3.500 đ, kỳ tháng 9 dùng 3.800 đ.
• Khi chủ chọn chế độ tính điện "bậc thang theo giá Nhà nước", thì hệ thống áp biểu giá 6 bậc và cho nhập định mức theo số người ở của phòng.
• Khi chủ nhập đơn giá âm hoặc bằng 0 cho dịch vụ tính theo chỉ số, thì hệ thống báo lỗi.
• Hệ thống lưu lại toàn bộ lịch sử thay đổi giá (giá cũ, giá mới, người sửa, thời điểm).</t>
  </si>
  <si>
    <t xml:space="preserve">US-07</t>
  </si>
  <si>
    <t xml:space="preserve">Quản lý tài sản trong phòng</t>
  </si>
  <si>
    <t xml:space="preserve">Với tư cách là quản lý toà nhà, tôi muốn ghi lại tài sản bàn giao trong từng phòng và tình trạng của chúng, để khi người thuê trả phòng có căn cứ đối chiếu và khấu trừ tiền cọc.</t>
  </si>
  <si>
    <t xml:space="preserve">• Khi quản lý lập biên bản bàn giao, thì có thể chọn tài sản từ danh mục (điều hoà, nóng lạnh, giường, tủ…) và ghi tình trạng kèm ảnh.
• Khi người thuê trả phòng, thì hệ thống hiển thị lại danh sách tài sản đã bàn giao để đối chiếu và ghi nhận hư hỏng.
• Khi có hư hỏng, thì hệ thống cho nhập số tiền khấu trừ và tự trừ vào tiền cọc hoàn lại.</t>
  </si>
  <si>
    <t xml:space="preserve">US-08</t>
  </si>
  <si>
    <t xml:space="preserve">EP-03 · Người thuê và hợp đồng thuê</t>
  </si>
  <si>
    <t xml:space="preserve">Quản lý hồ sơ người thuê</t>
  </si>
  <si>
    <t xml:space="preserve">Với tư cách là quản lý toà nhà, tôi muốn lưu hồ sơ người thuê kèm ảnh giấy tờ tuỳ thân, để có đủ thông tin phục vụ hợp đồng và khai báo lưu trú.</t>
  </si>
  <si>
    <t xml:space="preserve">• Khi quản lý tạo hồ sơ, thì bắt buộc nhập: họ tên, số điện thoại, số giấy tờ tuỳ thân, quê quán, ngày bắt đầu ở.
• Khi số điện thoại đã tồn tại trong hệ thống, thì hệ thống cảnh báo và gợi ý dùng lại hồ sơ cũ thay vì tạo trùng.
• Khi quản lý tải lên ảnh giấy tờ, thì ảnh chỉ hiển thị được cho vai trò Chủ và Quản lý của chính toà đó; mọi lượt xem đều được ghi nhật ký.
• Khi quản lý thêm người ở cùng vượt quá sức chứa của phòng, thì hệ thống cảnh báo nhưng vẫn cho lưu kèm lý do.
• Người thuê được đánh dấu là "người đại diện hợp đồng" hoặc "người ở cùng".</t>
  </si>
  <si>
    <t xml:space="preserve">US-09</t>
  </si>
  <si>
    <t xml:space="preserve">Tạo hợp đồng thuê</t>
  </si>
  <si>
    <t xml:space="preserve">Với tư cách là quản lý toà nhà, tôi muốn tạo hợp đồng thuê cho một phòng, để ghi nhận đầy đủ điều khoản và làm căn cứ tính tiền hằng tháng.</t>
  </si>
  <si>
    <t xml:space="preserve">• Khi quản lý tạo hợp đồng, thì phải chọn: phòng, người đại diện, ngày bắt đầu, thời hạn, giá thuê, tiền cọc, chu kỳ thanh toán, danh sách dịch vụ áp dụng kèm đơn giá.
• Khi phòng đã có hợp đồng còn hiệu lực trong khoảng thời gian đó, thì hệ thống **từ chối** tạo và báo "Phòng đang có hợp đồng hiệu lực đến ngày ...".
• Khi hợp đồng được lưu, thì trạng thái phòng tự chuyển sang "Đang thuê" và hệ thống ghi nhận khoản thu tiền cọc chờ xác nhận.
• Khi ngày bắt đầu nằm sau ngày kết thúc, thì hệ thống báo lỗi.
• Khi hợp đồng được tạo, thì hệ thống sinh bản hợp đồng dạng PDF theo mẫu để in và ký.
• Khi ngày bắt đầu không trùng ngày chốt số, thì kỳ hoá đơn đầu tiên được tính tiền phòng theo số ngày ở thực tế (xem BR-06).</t>
  </si>
  <si>
    <t xml:space="preserve">US-10</t>
  </si>
  <si>
    <t xml:space="preserve">Gia hạn hợp đồng</t>
  </si>
  <si>
    <t xml:space="preserve">Với tư cách là quản lý toà nhà, tôi muốn gia hạn hợp đồng sắp hết hạn chỉ với vài thao tác, để không phải nhập lại toàn bộ thông tin.</t>
  </si>
  <si>
    <t xml:space="preserve">• Khi quản lý bấm "Gia hạn", thì hệ thống tạo hợp đồng mới kế thừa toàn bộ điều khoản cũ, chỉ yêu cầu nhập thời hạn mới và giá thuê mới (nếu thay đổi).
• Khi giá thuê mới khác giá cũ, thì hệ thống hiển thị cảnh báo cần thông báo cho người thuê trước ngày áp dụng.
• Khi hợp đồng cũ chưa hết hạn, thì hợp đồng mới có hiệu lực ngay sau ngày kết thúc hợp đồng cũ, không tạo khoảng chồng lấn.</t>
  </si>
  <si>
    <t xml:space="preserve">US-11</t>
  </si>
  <si>
    <t xml:space="preserve">Thanh lý hợp đồng và trả phòng</t>
  </si>
  <si>
    <t xml:space="preserve">Với tư cách là quản lý toà nhà, tôi muốn thực hiện thủ tục trả phòng và quyết toán tiền cọc, để kết thúc quan hệ thuê một cách rõ ràng, không tranh chấp.</t>
  </si>
  <si>
    <t xml:space="preserve">• Khi quản lý bắt đầu thủ tục trả phòng, thì hệ thống yêu cầu nhập chỉ số điện, nước cuối cùng tại ngày trả phòng.
• Khi nhập xong, thì hệ thống tự tính hoá đơn kỳ cuối gồm: tiền phòng theo số ngày ở thực tế, tiền dịch vụ theo chỉ số, phí cố định, các khoản khấu trừ hư hỏng.
• Khi quyết toán, thì hệ thống hiển thị rõ: tiền cọc đã thu − công nợ còn lại − khấu trừ hư hỏng = **số tiền hoàn lại** (hoặc số tiền người thuê còn phải nộp thêm).
• Khi người thuê còn công nợ lớn hơn tiền cọc, thì hệ thống tạo một khoản phải thu và không cho đóng hợp đồng cho đến khi đánh dấu đã xử lý.
• Khi hợp đồng được thanh lý, thì trạng thái phòng chuyển về "Trống" (hoặc "Đang sửa chữa" nếu quản lý chọn) và tài khoản cổng người thuê chuyển sang chế độ chỉ đọc trong 90 ngày.</t>
  </si>
  <si>
    <t xml:space="preserve">US-12</t>
  </si>
  <si>
    <t xml:space="preserve">Quản lý phương tiện của người thuê</t>
  </si>
  <si>
    <t xml:space="preserve">Với tư cách là quản lý toà nhà, tôi muốn đăng ký xe của từng phòng, để tính phí gửi xe đúng và kiểm soát an ninh nhà xe.</t>
  </si>
  <si>
    <t xml:space="preserve">• Khi quản lý đăng ký xe, thì nhập: loại xe (máy/điện/ô tô/xe đạp), biển số, chủ xe, ngày đăng ký.
• Khi biển số đã được đăng ký ở phòng khác trong cùng toà, thì hệ thống cảnh báo trùng.
• Khi tạo hoá đơn, thì phí gửi xe được tính theo số xe đang đăng ký của phòng tại thời điểm chốt kỳ.</t>
  </si>
  <si>
    <t xml:space="preserve">US-13</t>
  </si>
  <si>
    <t xml:space="preserve">EP-04 · Ghi chỉ số dịch vụ</t>
  </si>
  <si>
    <t xml:space="preserve">Ghi chỉ số công tơ theo danh sách phòng</t>
  </si>
  <si>
    <t xml:space="preserve">Với tư cách là quản lý toà nhà, tôi muốn nhập chỉ số điện nước của cả toà trên điện thoại theo danh sách phòng, để ghi số ngay tại chỗ mà không phải chép lại từ sổ tay.</t>
  </si>
  <si>
    <t xml:space="preserve">• Khi quản lý mở màn hình ghi chỉ số của kỳ, thì hệ thống liệt kê tất cả phòng đang có hợp đồng, **sắp xếp theo tầng rồi theo số phòng**, mỗi dòng hiển thị chỉ số kỳ trước ngay cạnh ô nhập chỉ số mới.
• Khi quản lý nhập chỉ số mới, thì hệ thống hiển thị ngay số tiêu thụ được tính ra để người nhập tự kiểm tra.
• Khi quản lý nhập chỉ số mới **nhỏ hơn** chỉ số kỳ trước, thì hệ thống chặn lưu và hiển thị "Chỉ số mới không được nhỏ hơn chỉ số cũ (…). Nếu vừa thay công tơ, hãy chọn 'Thay công tơ'".
• Khi mức tiêu thụ vượt **150% trung bình ba kỳ gần nhất** của chính phòng đó, thì hệ thống hiển thị cảnh báo màu vàng và yêu cầu xác nhận trước khi lưu.
• Khi quản lý bấm lưu mà mất kết nối mạng, thì dữ liệu đã nhập được giữ lại trên thiết bị và tự gửi lại khi có mạng, không mất dữ liệu.
• Khi quản lý đã ghi xong toàn bộ phòng, thì hệ thống hiển thị số phòng còn thiếu (nếu có) trước khi cho phép chốt kỳ.</t>
  </si>
  <si>
    <t xml:space="preserve">US-14</t>
  </si>
  <si>
    <t xml:space="preserve">Đính kèm ảnh công tơ</t>
  </si>
  <si>
    <t xml:space="preserve">Với tư cách là người thuê, tôi muốn nhìn thấy ảnh chụp công tơ tương ứng với chỉ số trên hoá đơn, để tin rằng số tiền điện của mình được tính đúng.</t>
  </si>
  <si>
    <t xml:space="preserve">• Khi quản lý nhập chỉ số, thì có thể chụp hoặc chọn ảnh đính kèm cho từng phòng.
• Khi toà nhà bật tuỳ chọn "bắt buộc ảnh công tơ", thì hệ thống không cho lưu chỉ số nếu thiếu ảnh.
• Khi người thuê mở hoá đơn, thì thấy được ảnh công tơ của kỳ đó ở kích thước đủ đọc số.
• Ảnh được nén xuống dưới 500 KB trước khi lưu, giữ nguyên phần hiển thị số.
• Khi ảnh đã gắn với một chỉ số đã dùng để phát hành hoá đơn, thì không cho phép xoá, chỉ cho bổ sung ảnh mới.</t>
  </si>
  <si>
    <t xml:space="preserve">US-15</t>
  </si>
  <si>
    <t xml:space="preserve">Xử lý thay công tơ</t>
  </si>
  <si>
    <t xml:space="preserve">Với tư cách là quản lý toà nhà, tôi muốn ghi nhận việc thay công tơ giữa kỳ, để tiền dịch vụ vẫn được tính đúng khi chỉ số quay về 0.</t>
  </si>
  <si>
    <t xml:space="preserve">• Khi quản lý chọn "Thay công tơ", thì nhập: chỉ số cuối của công tơ cũ, chỉ số đầu của công tơ mới, ngày thay, ảnh cả hai công tơ.
• Khi tính hoá đơn kỳ đó, thì mức tiêu thụ = (chỉ số cuối công tơ cũ − chỉ số đầu kỳ) + (chỉ số cuối kỳ − chỉ số đầu công tơ mới).
• Khi xem lịch sử chỉ số, thì kỳ có thay công tơ được đánh dấu rõ kèm ghi chú.</t>
  </si>
  <si>
    <t xml:space="preserve">US-16</t>
  </si>
  <si>
    <t xml:space="preserve">EP-05 · Hoá đơn và thanh toán</t>
  </si>
  <si>
    <t xml:space="preserve">Tạo hoá đơn hàng loạt cho cả toà</t>
  </si>
  <si>
    <t xml:space="preserve">Với tư cách là quản lý toà nhà, tôi muốn hệ thống tự tính và tạo hoá đơn cho toàn bộ phòng của một kỳ chỉ bằng một thao tác, để rút thời gian chốt sổ từ vài giờ xuống vài phút.</t>
  </si>
  <si>
    <t xml:space="preserve">• Khi quản lý bấm "Tạo hoá đơn kỳ tháng 8/2026", thì hệ thống tạo hoá đơn nháp cho mọi phòng có hợp đồng hiệu lực trong kỳ, áp dụng đúng các quy tắc BR-01 đến BR-07.
• Khi có phòng chưa ghi chỉ số, thì hệ thống liệt kê rõ các phòng đó và **không tạo hoá đơn cho chúng**, các phòng còn lại vẫn được tạo bình thường.
• Khi một phòng có người vào ở giữa kỳ, thì tiền phòng được chia theo số ngày ở thực tế và hoá đơn ghi rõ dòng "Tiền phòng (12/31 ngày)".
• Khi kỳ đó đã tồn tại hoá đơn cho phòng, thì hệ thống **không tạo trùng** mà báo "Đã có hoá đơn cho phòng này trong kỳ".
• Khi tạo xong, thì hệ thống hiển thị bảng tổng hợp: số hoá đơn đã tạo, tổng tiền, số phòng bị bỏ qua và lý do.
• Toàn bộ hoá đơn được tạo ở trạng thái **Nháp**, chưa gửi cho người thuê.
• Thời gian xử lý cho một toà 50 phòng không quá 10 giây.</t>
  </si>
  <si>
    <t xml:space="preserve">US-17</t>
  </si>
  <si>
    <t xml:space="preserve">Xem và chỉnh sửa hoá đơn nháp</t>
  </si>
  <si>
    <t xml:space="preserve">Với tư cách là quản lý toà nhà, tôi muốn kiểm tra và điều chỉnh hoá đơn trước khi gửi đi, để không gửi nhầm số liệu cho người thuê.</t>
  </si>
  <si>
    <t xml:space="preserve">• Khi quản lý mở một hoá đơn nháp, thì thấy đầy đủ: kỳ, phòng, người thuê, từng dòng khoản mục (tên khoản, chỉ số đầu–cuối, số lượng, đơn giá, thành tiền), tổng cộng, hạn thanh toán.
• Khi quản lý thêm một dòng thủ công (ví dụ "Phí sửa vòi nước"), thì phải nhập lý do; dòng đó được đánh dấu là khoản phát sinh.
• Khi quản lý thêm dòng giảm trừ, thì số tiền giảm trừ không được vượt quá tổng các khoản phải thu.
• Khi hoá đơn đã ở trạng thái "Đã phát hành", thì **không cho sửa trực tiếp**; chỉ được huỷ có ghi lý do rồi phát hành hoá đơn thay thế, và cả hai đều lưu trong nhật ký.</t>
  </si>
  <si>
    <t xml:space="preserve">US-18</t>
  </si>
  <si>
    <t xml:space="preserve">Phát hành và gửi hoá đơn cho người thuê</t>
  </si>
  <si>
    <t xml:space="preserve">Với tư cách là quản lý toà nhà, tôi muốn phát hành và gửi hoá đơn cho tất cả người thuê cùng lúc, để không phải soạn tin nhắn thủ công cho từng phòng.</t>
  </si>
  <si>
    <t xml:space="preserve">• Khi quản lý bấm "Phát hành", thì toàn bộ hoá đơn nháp đã kiểm tra chuyển sang trạng thái "Đã phát hành" và hiển thị ngay trên cổng người thuê.
• Khi phát hành, thì hệ thống gửi thông báo cho từng người thuê kèm liên kết xem hoá đơn.
• Khi một người thuê không có số điện thoại hợp lệ, thì hệ thống vẫn phát hành nhưng liệt kê phòng đó vào danh sách "chưa gửi được thông báo".
• Khi hoá đơn được phát hành, thì hệ thống sinh **mã hoá đơn duy nhất** theo định dạng `&lt;Mã toà&gt;-&lt;Số phòng&gt;-&lt;YYYYMM&gt;` để dùng làm nội dung chuyển khoản.
• Người dùng có thể tải hoá đơn dạng PDF hoặc ảnh để gửi lại qua Zalo.</t>
  </si>
  <si>
    <t xml:space="preserve">US-19</t>
  </si>
  <si>
    <t xml:space="preserve">Hiển thị mã QR chuyển khoản</t>
  </si>
  <si>
    <t xml:space="preserve">Với tư cách là người thuê, tôi muốn quét mã QR để chuyển khoản với nội dung đã điền sẵn, để không gõ nhầm số tài khoản hay nội dung chuyển tiền.</t>
  </si>
  <si>
    <t xml:space="preserve">• Khi người thuê mở hoá đơn chưa thanh toán, thì thấy mã QR chứa: số tài khoản của chủ, số tiền còn phải trả, và nội dung là mã hoá đơn.
• Khi hoá đơn đã thanh toán đủ, thì mã QR không hiển thị nữa.
• Khi chủ chưa khai báo tài khoản ngân hàng cho toà nhà, thì phần QR hiển thị hướng dẫn liên hệ quản lý thay vì mã lỗi.
• Mã QR được sinh theo chuẩn thanh toán ngân hàng phổ biến tại Việt Nam để mọi ứng dụng ngân hàng đều quét được.</t>
  </si>
  <si>
    <t xml:space="preserve">US-20</t>
  </si>
  <si>
    <t xml:space="preserve">Ghi nhận thanh toán và công nợ</t>
  </si>
  <si>
    <t xml:space="preserve">Với tư cách là quản lý toà nhà, tôi muốn ghi nhận từng lần người thuê trả tiền, kể cả trả một phần, để biết chính xác ai còn nợ bao nhiêu.</t>
  </si>
  <si>
    <t xml:space="preserve">• Khi quản lý ghi nhận một khoản thu, thì nhập: hoá đơn, số tiền, hình thức (tiền mặt/chuyển khoản), ngày thu, ghi chú.
• Khi số tiền thu **nhỏ hơn** số phải trả, thì hoá đơn chuyển trạng thái "Đã thu một phần" và hiển thị số còn lại.
• Khi tổng các lần thu **bằng hoặc lớn hơn** số phải trả, thì hoá đơn chuyển sang "Đã thanh toán" và ghi nhận phần dư thành số dư khả dụng của phòng để trừ vào kỳ sau.
• Khi số tiền thu là số âm hoặc bằng 0, thì hệ thống báo lỗi.
• Khi quá hạn thanh toán mà hoá đơn chưa được trả đủ, thì trạng thái tự chuyển thành "Quá hạn" và xuất hiện trên bảng công nợ.
• Khi ghi nhận thanh toán, thì hệ thống sinh biên lai có mã, người thuê xem được trên cổng.
• Người quản lý **không được phép xoá** một lần ghi nhận thanh toán; chỉ được lập bút toán điều chỉnh có lý do.</t>
  </si>
  <si>
    <t xml:space="preserve">US-21</t>
  </si>
  <si>
    <t xml:space="preserve">Đối soát chuyển khoản từ sao kê</t>
  </si>
  <si>
    <t xml:space="preserve">Với tư cách là chủ sở hữu, tôi muốn tải lên file sao kê ngân hàng để hệ thống tự khớp với hoá đơn, để không phải dò từng giao dịch bằng mắt.</t>
  </si>
  <si>
    <t xml:space="preserve">• Khi chủ tải lên file sao kê (CSV/Excel), thì hệ thống đọc các cột ngày, số tiền, nội dung.
• Khi nội dung giao dịch chứa mã hoá đơn hợp lệ và số tiền khớp, thì hệ thống đề xuất khớp tự động; việc ghi nhận chỉ thực hiện sau khi người dùng **xác nhận**.
• Khi có giao dịch không khớp được, thì hệ thống đưa vào danh sách "Chờ xử lý thủ công" kèm gợi ý hoá đơn có số tiền gần đúng.
• Khi cùng một giao dịch đã được khớp trước đó, thì hệ thống không khớp lại lần hai.</t>
  </si>
  <si>
    <t xml:space="preserve">US-22</t>
  </si>
  <si>
    <t xml:space="preserve">EP-06 · Sự cố và bảo trì</t>
  </si>
  <si>
    <t xml:space="preserve">Người thuê gửi yêu cầu sửa chữa</t>
  </si>
  <si>
    <t xml:space="preserve">Với tư cách là người thuê, tôi muốn báo sự cố kèm ảnh ngay trên hệ thống, để yêu cầu của tôi không bị trôi mất như khi nhắn tin.</t>
  </si>
  <si>
    <t xml:space="preserve">• Khi người thuê tạo yêu cầu, thì nhập: hạng mục (điện/nước/nội thất/internet/an ninh/khác), mô tả, mức độ (Khẩn cấp / Bình thường / Có thể chờ), tối đa 5 ảnh.
• Khi gửi thành công, thì hệ thống sinh mã yêu cầu và trạng thái "Mới tiếp nhận", đồng thời thông báo cho quản lý toà đó.
• Khi mức độ là "Khẩn cấp", thì thông báo tới quản lý được đánh dấu ưu tiên và hiển thị nổi bật trên màn hình chính của quản lý.
• Khi người thuê chưa nhập mô tả, thì hệ thống không cho gửi.
• Khi người thuê mở lại yêu cầu, thì thấy toàn bộ lịch sử trạng thái kèm thời điểm và người xử lý.</t>
  </si>
  <si>
    <t xml:space="preserve">US-23</t>
  </si>
  <si>
    <t xml:space="preserve">Xử lý và phân công yêu cầu sửa chữa</t>
  </si>
  <si>
    <t xml:space="preserve">Với tư cách là quản lý toà nhà, tôi muốn phân công thợ và cập nhật tiến độ xử lý, để theo dõi được việc nào đang tồn đọng.</t>
  </si>
  <si>
    <t xml:space="preserve">• Khi quản lý mở danh sách yêu cầu, thì có thể lọc theo toà, trạng thái, mức độ, hạng mục và sắp xếp theo thời gian chờ lâu nhất.
• Khi quản lý phân công cho một thợ, thì trạng thái chuyển sang "Đã phân công" và thợ nhận được thông báo.
• Khi thợ báo hoàn thành, thì nhập chi phí thực tế, bên chịu chi phí (chủ nhà / người thuê), ảnh sau khi sửa; trạng thái chuyển "Chờ xác nhận".
• Khi bên chịu chi phí là người thuê, thì hệ thống tạo sẵn một khoản phát sinh gắn vào hoá đơn kỳ tiếp theo của phòng đó.
• Khi người thuê xác nhận đã xong (hoặc sau 72 giờ không phản hồi), thì trạng thái chuyển "Đã đóng".
• Vòng đời trạng thái: Mới tiếp nhận → Đã tiếp nhận → Đã phân công → Đang xử lý → Chờ xác nhận → Đã đóng; có thể chuyển sang "Đã huỷ" kèm lý do ở bất kỳ bước nào trước "Đã đóng".</t>
  </si>
  <si>
    <t xml:space="preserve">US-24</t>
  </si>
  <si>
    <t xml:space="preserve">Lịch sử bảo trì và chi phí theo phòng</t>
  </si>
  <si>
    <t xml:space="preserve">Với tư cách là chủ sở hữu, tôi muốn xem lịch sử sửa chữa và tổng chi phí bảo trì của từng phòng, để biết phòng nào hay hỏng và cân nhắc thay thiết bị.</t>
  </si>
  <si>
    <t xml:space="preserve">• Khi chủ mở chi tiết một phòng, thì thấy danh sách sự cố đã xảy ra kèm ngày, hạng mục, chi phí.
• Khi chủ mở báo cáo bảo trì, thì thấy tổng chi phí theo toà, theo hạng mục, theo tháng.
• Khi một phòng có từ 3 sự cố cùng hạng mục trong 6 tháng, thì hệ thống đánh dấu cảnh báo "hỏng lặp lại".</t>
  </si>
  <si>
    <t xml:space="preserve">US-25</t>
  </si>
  <si>
    <t xml:space="preserve">EP-07 · Thông báo và nhắc việc</t>
  </si>
  <si>
    <t xml:space="preserve">Bảng nhắc việc cho quản lý</t>
  </si>
  <si>
    <t xml:space="preserve">Với tư cách là quản lý toà nhà, tôi muốn thấy ngay những việc cần làm khi mở hệ thống, để không bỏ sót đầu việc quan trọng trong tháng.</t>
  </si>
  <si>
    <t xml:space="preserve">• Khi quản lý đăng nhập, thì màn hình chính hiển thị các nhóm nhắc việc: hoá đơn quá hạn, phòng chưa ghi chỉ số khi đã đến ngày chốt số, hợp đồng hết hạn trong 30 ngày, yêu cầu sửa chữa tồn quá 48 giờ, đến hạn kiểm tra PCCC.
• Khi bấm vào một mục nhắc việc, thì hệ thống mở thẳng danh sách chi tiết đã lọc sẵn.
• Khi không còn việc nào trong một nhóm, thì nhóm đó hiển thị trạng thái "Đã xong" thay vì biến mất, để người dùng biết hệ thống đã kiểm tra.</t>
  </si>
  <si>
    <t xml:space="preserve">US-26</t>
  </si>
  <si>
    <t xml:space="preserve">Gửi thông báo chung của toà nhà</t>
  </si>
  <si>
    <t xml:space="preserve">Với tư cách là quản lý toà nhà, tôi muốn gửi thông báo tới toàn bộ người thuê của một toà, để truyền đạt thông tin như lịch cắt nước, nội quy mới đến mọi người cùng lúc.</t>
  </si>
  <si>
    <t xml:space="preserve">• Khi quản lý soạn thông báo, thì chọn phạm vi (toàn toà / một số tầng / một số phòng), tiêu đề, nội dung, ảnh đính kèm, thời gian hiệu lực.
• Khi gửi, thì thông báo xuất hiện trên cổng người thuê của các phòng được chọn.
• Khi người thuê đã xem, thì quản lý thấy được số lượng và danh sách phòng đã xem.
• Khi thông báo hết thời gian hiệu lực, thì tự động chuyển xuống mục lưu trữ.</t>
  </si>
  <si>
    <t xml:space="preserve">US-27</t>
  </si>
  <si>
    <t xml:space="preserve">Nhắc hạn thanh toán tự động</t>
  </si>
  <si>
    <t xml:space="preserve">Với tư cách là chủ sở hữu, tôi muốn hệ thống tự nhắc người thuê sắp đến hạn và đã quá hạn, để tăng tỷ lệ thu tiền đúng hạn mà không cần nhắc thủ công.</t>
  </si>
  <si>
    <t xml:space="preserve">• Khi còn 3 ngày đến hạn thanh toán, thì hệ thống gửi nhắc lần 1 cho các hoá đơn chưa thanh toán đủ.
• Khi quá hạn 1 ngày, thì gửi nhắc lần 2; quá hạn 5 ngày thì gửi nhắc lần 3 và đồng thời báo cho quản lý.
• Khi hoá đơn đã được thanh toán đủ, thì mọi nhắc nhở còn lại của hoá đơn đó bị huỷ.
• Chủ có thể bật/tắt nhắc tự động và chỉnh mốc thời gian nhắc theo từng toà.</t>
  </si>
  <si>
    <t xml:space="preserve">US-28</t>
  </si>
  <si>
    <t xml:space="preserve">EP-08 · Cổng người thuê</t>
  </si>
  <si>
    <t xml:space="preserve">Xem hoá đơn của tôi</t>
  </si>
  <si>
    <t xml:space="preserve">Với tư cách là người thuê, tôi muốn xem hoá đơn tháng này và các tháng trước với đầy đủ chi tiết, để biết mình phải trả bao nhiêu và vì sao.</t>
  </si>
  <si>
    <t xml:space="preserve">• Khi người thuê mở cổng, thì thấy ngay hoá đơn kỳ gần nhất: tổng tiền, hạn thanh toán, trạng thái, và nút xem chi tiết.
• Khi xem chi tiết, thì thấy từng khoản mục kèm chỉ số đầu kỳ – cuối kỳ – số tiêu thụ – đơn giá – thành tiền.
• Khi người thuê mở lịch sử, thì xem được hoá đơn của tối thiểu 12 kỳ gần nhất.
• Khi người thuê đăng nhập, thì **chỉ** thấy dữ liệu của phòng mình, không thấy phòng khác trong bất kỳ màn hình nào.
• Khi hợp đồng đã thanh lý, thì người thuê vẫn xem được hoá đơn cũ ở chế độ chỉ đọc trong 90 ngày.</t>
  </si>
  <si>
    <t xml:space="preserve">US-29</t>
  </si>
  <si>
    <t xml:space="preserve">Xem lịch sử tiêu thụ điện nước</t>
  </si>
  <si>
    <t xml:space="preserve">Với tư cách là người thuê, tôi muốn xem biểu đồ tiêu thụ điện nước theo tháng, để tự đánh giá mình đang dùng nhiều hay ít và điều chỉnh.</t>
  </si>
  <si>
    <t xml:space="preserve">• Khi người thuê mở mục "Tiêu thụ", thì thấy biểu đồ cột số kWh và m³ của 12 kỳ gần nhất.
• Khi một kỳ có mức tiêu thụ cao hơn 150% trung bình, thì cột đó được làm nổi bật kèm chú thích.
• Khi bấm vào một cột, thì hiển thị chỉ số đầu–cuối và ảnh công tơ của kỳ đó.</t>
  </si>
  <si>
    <t xml:space="preserve">US-30</t>
  </si>
  <si>
    <t xml:space="preserve">Xem hợp đồng và thông tin phòng</t>
  </si>
  <si>
    <t xml:space="preserve">Với tư cách là người thuê, tôi muốn xem lại hợp đồng, ngày hết hạn và các điều khoản giá, để chủ động chuẩn bị gia hạn hoặc tìm chỗ mới.</t>
  </si>
  <si>
    <t xml:space="preserve">• Khi người thuê mở mục hợp đồng, thì thấy: ngày bắt đầu, ngày hết hạn, giá thuê, tiền cọc đã đóng, danh sách dịch vụ và đơn giá đang áp dụng.
• Khi còn dưới 30 ngày đến hạn, thì hiển thị nhắc "Hợp đồng sắp hết hạn" kèm nút gửi yêu cầu gia hạn.
• Khi người thuê tải hợp đồng, thì nhận được bản PDF đã ký (nếu quản lý đã tải lên).</t>
  </si>
  <si>
    <t xml:space="preserve">US-31</t>
  </si>
  <si>
    <t xml:space="preserve">Gửi yêu cầu gia hạn hoặc trả phòng</t>
  </si>
  <si>
    <t xml:space="preserve">Với tư cách là người thuê, tôi muốn gửi ý định gia hạn hoặc trả phòng qua hệ thống, để hai bên có ghi nhận rõ ràng về thời điểm báo trước.</t>
  </si>
  <si>
    <t xml:space="preserve">• Khi người thuê gửi yêu cầu trả phòng, thì chọn ngày dự kiến trả và hệ thống ghi lại thời điểm gửi làm mốc báo trước.
• Khi ngày dự kiến trả cách ngày gửi ít hơn số ngày báo trước ghi trong hợp đồng, thì hệ thống cảnh báo có thể bị mất một phần tiền cọc theo điều khoản.
• Khi quản lý duyệt yêu cầu, thì hệ thống tạo sẵn quy trình trả phòng ở US-11.</t>
  </si>
  <si>
    <t xml:space="preserve">US-32</t>
  </si>
  <si>
    <t xml:space="preserve">EP-09 · Báo cáo và thống kê</t>
  </si>
  <si>
    <t xml:space="preserve">Màn hình tổng quan cho chủ sở hữu</t>
  </si>
  <si>
    <t xml:space="preserve">Với tư cách là chủ sở hữu nhiều toà, tôi muốn một màn hình duy nhất tổng hợp tình hình tất cả các toà, để nắm được sức khoẻ kinh doanh chỉ trong một phút mỗi sáng.</t>
  </si>
  <si>
    <t xml:space="preserve">• Khi chủ đăng nhập, thì thấy các chỉ số của kỳ hiện tại: tổng doanh thu đã phát hành, tổng đã thu, tổng công nợ, tỷ lệ lấp đầy, số phòng trống, số sự cố đang mở — **tổng hợp trên tất cả các toà**.
• Khi chủ chọn một toà cụ thể, thì mọi chỉ số được lọc lại theo toà đó.
• Khi chủ chọn khoảng thời gian, thì biểu đồ doanh thu – công nợ theo tháng cập nhật tương ứng.
• Khi mở trên điện thoại, thì các chỉ số xếp theo chiều dọc và vẫn đọc được đầy đủ.
• Thời gian tải màn hình không quá 3 giây với dữ liệu 5 toà × 50 phòng × 24 kỳ.</t>
  </si>
  <si>
    <t xml:space="preserve">US-33</t>
  </si>
  <si>
    <t xml:space="preserve">Báo cáo công nợ</t>
  </si>
  <si>
    <t xml:space="preserve">Với tư cách là chủ sở hữu, tôi muốn xem danh sách phòng còn nợ và số ngày quá hạn, để biết cần đôn đốc ai trước.</t>
  </si>
  <si>
    <t xml:space="preserve">• Khi chủ mở báo cáo công nợ, thì thấy danh sách: toà, phòng, người thuê, số tiền còn nợ, số ngày quá hạn, sắp xếp giảm dần theo số ngày quá hạn.
• Khi bấm vào một dòng, thì mở chi tiết các hoá đơn chưa trả đủ của phòng đó.
• Khi chủ xuất báo cáo, thì tải được file Excel với đúng dữ liệu đang lọc.</t>
  </si>
  <si>
    <t xml:space="preserve">US-34</t>
  </si>
  <si>
    <t xml:space="preserve">Đối chiếu công tơ tổng, phát hiện thất thoát</t>
  </si>
  <si>
    <t xml:space="preserve">Với tư cách là chủ sở hữu, tôi muốn so sánh tổng tiêu thụ của các phòng với chỉ số công tơ tổng, để phát hiện rò rỉ, câu trộm điện hoặc ghi sót.</t>
  </si>
  <si>
    <t xml:space="preserve">• Khi chủ nhập chỉ số công tơ tổng của kỳ, thì hệ thống hiển thị: tổng tiêu thụ các phòng, tiêu thụ khu vực chung, phần chênh lệch và tỷ lệ phần trăm.
• Khi tỷ lệ chênh lệch vượt ngưỡng cấu hình (mặc định 10%), thì hệ thống cảnh báo và gợi ý kiểm tra lại các phòng có mức tiêu thụ giảm bất thường.
• Khi chưa nhập chỉ số công tơ tổng, thì báo cáo hiển thị trạng thái "Chưa có dữ liệu" thay vì báo lỗi.</t>
  </si>
  <si>
    <t xml:space="preserve">US-35</t>
  </si>
  <si>
    <t xml:space="preserve">EP-10 · An toàn, tuân thủ và nhật ký</t>
  </si>
  <si>
    <t xml:space="preserve">Quản lý hồ sơ và lịch kiểm tra PCCC</t>
  </si>
  <si>
    <t xml:space="preserve">Với tư cách là chủ sở hữu, tôi muốn lưu hồ sơ PCCC của từng toà và được nhắc lịch tự kiểm tra định kỳ, để luôn sẵn sàng khi cơ quan chức năng kiểm tra.</t>
  </si>
  <si>
    <t xml:space="preserve">• Khi chủ mở hồ sơ an toàn của một toà, thì tải lên và lưu được: phiếu thông tin cơ sở về PCCC, phương án thoát nạn, biên bản kiểm tra, ảnh vị trí thiết bị chữa cháy, giấy chứng nhận bảo hiểm cháy nổ.
• Khi chủ khai báo danh mục thiết bị PCCC (bình chữa cháy, đầu báo khói, đèn thoát hiểm) kèm hạn kiểm định, thì hệ thống nhắc trước 30 ngày khi đến hạn.
• Khi đến kỳ tự kiểm tra định kỳ theo cấu hình, thì hệ thống tạo một việc cần làm trên bảng nhắc việc và cho ghi nhận kết quả kiểm tra theo danh mục kiểm tra.
• Khi có hạng mục kiểm tra bị đánh dấu "Không đạt", thì hệ thống tạo tự động một yêu cầu xử lý mức "Khẩn cấp".</t>
  </si>
  <si>
    <t xml:space="preserve">US-36</t>
  </si>
  <si>
    <t xml:space="preserve">Quản lý hồ sơ cư trú của người thuê</t>
  </si>
  <si>
    <t xml:space="preserve">Với tư cách là quản lý toà nhà, tôi muốn theo dõi tình trạng khai báo lưu trú/tạm trú của người thuê và xuất được danh sách cư trú, để thực hiện đúng trách nhiệm của cơ sở cho thuê.</t>
  </si>
  <si>
    <t xml:space="preserve">• Khi thêm một người thuê hoặc người ở cùng, thì hệ thống ghi nhận trạng thái khai báo: Chưa khai báo / Đã thông báo lưu trú / Đã đăng ký tạm trú, kèm ngày thực hiện.
• Khi một người ở quá 30 ngày mà trạng thái vẫn là "Chưa khai báo", thì hệ thống đưa vào bảng nhắc việc.
• Khi quản lý bấm "Xuất danh sách cư trú", thì tải được file Excel gồm: họ tên, ngày sinh, số giấy tờ, quê quán, phòng, ngày bắt đầu ở — theo thứ tự phòng.
• Hệ thống **không** tự gửi dữ liệu tới bất kỳ cơ quan nào; việc khai báo do người dùng tự thực hiện trên kênh chính thức.</t>
  </si>
  <si>
    <t xml:space="preserve">US-37</t>
  </si>
  <si>
    <t xml:space="preserve">Nhật ký thao tác (Audit log)</t>
  </si>
  <si>
    <t xml:space="preserve">Với tư cách là chủ sở hữu, tôi muốn xem lại ai đã thay đổi dữ liệu quan trọng và thay đổi cái gì, để kiểm soát rủi ro gian lận và truy vết khi có tranh chấp.</t>
  </si>
  <si>
    <t xml:space="preserve">• Khi có thao tác thuộc nhóm nhạy cảm (sửa/huỷ hoá đơn, ghi nhận thanh toán, đổi đơn giá dịch vụ, sửa chỉ số đã chốt, xem ảnh giấy tờ, đổi quyền tài khoản), thì hệ thống ghi lại: người thực hiện, thời điểm, đối tượng, giá trị trước và sau.
• Khi chủ mở nhật ký, thì lọc được theo người dùng, loại thao tác, khoảng thời gian, đối tượng.
• Nhật ký chỉ đọc, không ai được sửa hay xoá, kể cả quản trị hệ thống.
• Nhật ký được giữ tối thiểu 24 tháng.</t>
  </si>
  <si>
    <t xml:space="preserve">Mã FR</t>
  </si>
  <si>
    <t xml:space="preserve">Module</t>
  </si>
  <si>
    <t xml:space="preserve">Mô tả yêu cầu</t>
  </si>
  <si>
    <t xml:space="preserve">User story nguồn</t>
  </si>
  <si>
    <t xml:space="preserve">FR-AUT-01</t>
  </si>
  <si>
    <t xml:space="preserve">AUT · Xác thực và phân quyền</t>
  </si>
  <si>
    <t xml:space="preserve">Hệ thống phải cho phép người dùng đăng nhập bằng số điện thoại và mật khẩu</t>
  </si>
  <si>
    <t xml:space="preserve">FR-AUT-02</t>
  </si>
  <si>
    <t xml:space="preserve">Hệ thống phải khoá tạm thời việc đăng nhập sau 5 lần thất bại liên tiếp trong 15 phút</t>
  </si>
  <si>
    <t xml:space="preserve">FR-AUT-03</t>
  </si>
  <si>
    <t xml:space="preserve">Hệ thống phải cho phép đặt lại mật khẩu qua mã xác thực một lần có hiệu lực 5 phút</t>
  </si>
  <si>
    <t xml:space="preserve">FR-AUT-04</t>
  </si>
  <si>
    <t xml:space="preserve">Hệ thống phải hỗ trợ 5 vai trò: Quản trị hệ thống, Chủ sở hữu, Quản lý toà nhà, Thợ sửa chữa, Người thuê</t>
  </si>
  <si>
    <t xml:space="preserve">FR-AUT-05</t>
  </si>
  <si>
    <t xml:space="preserve">Hệ thống phải giới hạn dữ liệu mà người dùng truy cập được theo danh sách toà nhà được gán cho họ</t>
  </si>
  <si>
    <t xml:space="preserve">FR-AUT-06</t>
  </si>
  <si>
    <t xml:space="preserve">Hệ thống phải cho phép tạo, sửa, khoá tài khoản; không cho xoá tài khoản đã phát sinh dữ liệu</t>
  </si>
  <si>
    <t xml:space="preserve">FR-AUT-07</t>
  </si>
  <si>
    <t xml:space="preserve">Hệ thống phải chấm dứt hiệu lực phiên đăng nhập của người dùng bị thu hồi quyền trong tối đa 5 phút</t>
  </si>
  <si>
    <t xml:space="preserve">FR-BLD-01</t>
  </si>
  <si>
    <t xml:space="preserve">BLD · Toà nhà, phòng, dịch vụ</t>
  </si>
  <si>
    <t xml:space="preserve">Hệ thống phải cho phép khai báo nhiều toà nhà, mỗi toà có: tên, địa chỉ, số tầng, ngày chốt số, hạn thanh toán, thông tin tài khoản ngân hàng nhận tiền</t>
  </si>
  <si>
    <t xml:space="preserve">FR-BLD-02</t>
  </si>
  <si>
    <t xml:space="preserve">Hệ thống phải cho phép khai báo tầng và phòng, mỗi phòng có: số phòng, diện tích, sức chứa tối đa, giá thuê mặc định, loại phòng, trạng thái</t>
  </si>
  <si>
    <t xml:space="preserve">FR-BLD-03</t>
  </si>
  <si>
    <t xml:space="preserve">Hệ thống phải hiển thị sơ đồ phòng theo tầng, phân biệt trạng thái bằng màu sắc và nhãn chữ</t>
  </si>
  <si>
    <t xml:space="preserve">FR-BLD-04</t>
  </si>
  <si>
    <t xml:space="preserve">Hệ thống phải tự động cập nhật trạng thái phòng theo hợp đồng hiệu lực</t>
  </si>
  <si>
    <t xml:space="preserve">FR-BLD-05</t>
  </si>
  <si>
    <t xml:space="preserve">Hệ thống phải cho phép khai báo dịch vụ với 4 cách tính: theo chỉ số, cố định theo phòng, theo đầu người, theo số lượng</t>
  </si>
  <si>
    <t xml:space="preserve">FR-BLD-06</t>
  </si>
  <si>
    <t xml:space="preserve">Hệ thống phải lưu đơn giá dịch vụ kèm ngày hiệu lực và giữ nguyên đơn giá đã dùng trên hoá đơn đã phát hành</t>
  </si>
  <si>
    <t xml:space="preserve">FR-BLD-07</t>
  </si>
  <si>
    <t xml:space="preserve">Hệ thống phải hỗ trợ hai chế độ tính tiền điện: đơn giá cố định theo hợp đồng và biểu giá bậc thang theo quy định Nhà nước</t>
  </si>
  <si>
    <t xml:space="preserve">FR-BLD-08</t>
  </si>
  <si>
    <t xml:space="preserve">Hệ thống phải cho phép cập nhật biểu giá điện bậc thang khi Nhà nước điều chỉnh, có ngày hiệu lực</t>
  </si>
  <si>
    <t xml:space="preserve">FR-BLD-09</t>
  </si>
  <si>
    <t xml:space="preserve">Hệ thống phải cho phép quản lý tài sản bàn giao trong phòng kèm tình trạng và ảnh</t>
  </si>
  <si>
    <t xml:space="preserve">FR-TNT-01</t>
  </si>
  <si>
    <t xml:space="preserve">TNT · Người thuê và hợp đồng</t>
  </si>
  <si>
    <t xml:space="preserve">Hệ thống phải lưu hồ sơ người thuê gồm: họ tên, ngày sinh, số điện thoại, số giấy tờ tuỳ thân, quê quán, ảnh giấy tờ</t>
  </si>
  <si>
    <t xml:space="preserve">FR-TNT-02</t>
  </si>
  <si>
    <t xml:space="preserve">Hệ thống phải cho phép khai báo danh sách người ở cùng của mỗi hợp đồng</t>
  </si>
  <si>
    <t xml:space="preserve">FR-TNT-03</t>
  </si>
  <si>
    <t xml:space="preserve">Hệ thống phải cảnh báo khi tổng số người ở vượt sức chứa tối đa của phòng</t>
  </si>
  <si>
    <t xml:space="preserve">FR-TNT-04</t>
  </si>
  <si>
    <t xml:space="preserve">Hệ thống phải cho phép tạo hợp đồng thuê với đầy đủ điều khoản: thời hạn, giá thuê, tiền cọc, chu kỳ thanh toán, danh sách dịch vụ áp dụng</t>
  </si>
  <si>
    <t xml:space="preserve">FR-TNT-05</t>
  </si>
  <si>
    <t xml:space="preserve">Hệ thống phải ngăn việc tạo hai hợp đồng có hiệu lực chồng lấn trên cùng một phòng</t>
  </si>
  <si>
    <t xml:space="preserve">FR-TNT-06</t>
  </si>
  <si>
    <t xml:space="preserve">Hệ thống phải sinh bản hợp đồng dạng PDF theo mẫu cấu hình sẵn</t>
  </si>
  <si>
    <t xml:space="preserve">FR-TNT-07</t>
  </si>
  <si>
    <t xml:space="preserve">Hệ thống phải cho phép gia hạn hợp đồng, kế thừa điều khoản của hợp đồng cũ</t>
  </si>
  <si>
    <t xml:space="preserve">FR-TNT-08</t>
  </si>
  <si>
    <t xml:space="preserve">Hệ thống phải hỗ trợ quy trình thanh lý hợp đồng gồm: chốt chỉ số cuối, tính hoá đơn kỳ cuối, quyết toán tiền cọc</t>
  </si>
  <si>
    <t xml:space="preserve">FR-TNT-09</t>
  </si>
  <si>
    <t xml:space="preserve">Hệ thống phải tính và hiển thị số tiền cọc hoàn lại theo BR-07</t>
  </si>
  <si>
    <t xml:space="preserve">FR-TNT-10</t>
  </si>
  <si>
    <t xml:space="preserve">Hệ thống phải cho phép đăng ký phương tiện của phòng để tính phí gửi xe</t>
  </si>
  <si>
    <t xml:space="preserve">FR-TNT-11</t>
  </si>
  <si>
    <t xml:space="preserve">Hệ thống phải theo dõi trạng thái khai báo lưu trú của từng người ở và xuất được danh sách cư trú</t>
  </si>
  <si>
    <t xml:space="preserve">FR-MTR-01</t>
  </si>
  <si>
    <t xml:space="preserve">MTR · Ghi chỉ số dịch vụ</t>
  </si>
  <si>
    <t xml:space="preserve">Hệ thống phải hiển thị màn hình nhập chỉ số theo danh sách phòng, sắp xếp theo tầng và số phòng, hiển thị chỉ số kỳ trước bên cạnh ô nhập</t>
  </si>
  <si>
    <t xml:space="preserve">FR-MTR-02</t>
  </si>
  <si>
    <t xml:space="preserve">Hệ thống phải tính và hiển thị ngay mức tiêu thụ khi người dùng nhập chỉ số mới</t>
  </si>
  <si>
    <t xml:space="preserve">FR-MTR-03</t>
  </si>
  <si>
    <t xml:space="preserve">Hệ thống phải từ chối lưu khi chỉ số mới nhỏ hơn chỉ số kỳ trước, trừ trường hợp khai báo thay công tơ</t>
  </si>
  <si>
    <t xml:space="preserve">FR-MTR-04</t>
  </si>
  <si>
    <t xml:space="preserve">Hệ thống phải cảnh báo khi mức tiêu thụ vượt 150% trung bình ba kỳ gần nhất của cùng phòng</t>
  </si>
  <si>
    <t xml:space="preserve">FR-MTR-05</t>
  </si>
  <si>
    <t xml:space="preserve">Hệ thống phải giữ dữ liệu đã nhập trên thiết bị khi mất kết nối và tự đồng bộ khi có mạng trở lại</t>
  </si>
  <si>
    <t xml:space="preserve">FR-MTR-06</t>
  </si>
  <si>
    <t xml:space="preserve">Hệ thống phải cho phép đính kèm ảnh công tơ cho mỗi lần ghi chỉ số</t>
  </si>
  <si>
    <t xml:space="preserve">FR-MTR-07</t>
  </si>
  <si>
    <t xml:space="preserve">Hệ thống phải cho phép bật tuỳ chọn bắt buộc ảnh công tơ theo từng toà nhà</t>
  </si>
  <si>
    <t xml:space="preserve">FR-MTR-08</t>
  </si>
  <si>
    <t xml:space="preserve">Hệ thống phải hiển thị danh sách phòng chưa ghi chỉ số trước khi cho phép chốt kỳ</t>
  </si>
  <si>
    <t xml:space="preserve">FR-MTR-09</t>
  </si>
  <si>
    <t xml:space="preserve">Hệ thống phải hỗ trợ khai báo thay công tơ và tính tiêu thụ theo BR-09</t>
  </si>
  <si>
    <t xml:space="preserve">FR-MTR-10</t>
  </si>
  <si>
    <t xml:space="preserve">Hệ thống phải khoá không cho sửa chỉ số của kỳ đã phát hành hoá đơn, trừ vai trò Chủ sở hữu và phải ghi nhật ký</t>
  </si>
  <si>
    <t xml:space="preserve">FR-INV-01</t>
  </si>
  <si>
    <t xml:space="preserve">INV · Hoá đơn và thanh toán</t>
  </si>
  <si>
    <t xml:space="preserve">Hệ thống phải tạo hoá đơn hàng loạt cho toàn bộ phòng có hợp đồng hiệu lực trong một kỳ</t>
  </si>
  <si>
    <t xml:space="preserve">FR-INV-02</t>
  </si>
  <si>
    <t xml:space="preserve">Hệ thống phải tính hoá đơn theo các quy tắc nghiệp vụ BR-01 đến BR-08</t>
  </si>
  <si>
    <t xml:space="preserve">FR-INV-03</t>
  </si>
  <si>
    <t xml:space="preserve">Hệ thống phải bỏ qua và báo rõ các phòng chưa đủ dữ liệu chỉ số, không làm gián đoạn việc tạo hoá đơn cho phòng khác</t>
  </si>
  <si>
    <t xml:space="preserve">FR-INV-04</t>
  </si>
  <si>
    <t xml:space="preserve">Hệ thống phải ngăn việc tạo hai hoá đơn cho cùng một phòng trong cùng một kỳ</t>
  </si>
  <si>
    <t xml:space="preserve">FR-INV-05</t>
  </si>
  <si>
    <t xml:space="preserve">Hệ thống phải cho phép sửa hoá đơn ở trạng thái Nháp, gồm thêm khoản phát sinh và khoản giảm trừ kèm lý do</t>
  </si>
  <si>
    <t xml:space="preserve">FR-INV-06</t>
  </si>
  <si>
    <t xml:space="preserve">Hệ thống phải cấm sửa trực tiếp hoá đơn đã phát hành; chỉ cho huỷ có lý do và phát hành hoá đơn thay thế</t>
  </si>
  <si>
    <t xml:space="preserve">FR-INV-07</t>
  </si>
  <si>
    <t xml:space="preserve">Hệ thống phải sinh mã hoá đơn duy nhất theo định dạng `&lt;Mã toà&gt;-&lt;Số phòng&gt;-&lt;YYYYMM&gt;`</t>
  </si>
  <si>
    <t xml:space="preserve">FR-INV-08</t>
  </si>
  <si>
    <t xml:space="preserve">Hệ thống phải phát hành hoá đơn hàng loạt và gửi thông báo tới người thuê</t>
  </si>
  <si>
    <t xml:space="preserve">FR-INV-09</t>
  </si>
  <si>
    <t xml:space="preserve">Hệ thống phải xuất hoá đơn dạng PDF/ảnh để in hoặc gửi qua kênh chat</t>
  </si>
  <si>
    <t xml:space="preserve">FR-INV-10</t>
  </si>
  <si>
    <t xml:space="preserve">Hệ thống phải hiển thị mã QR chuyển khoản chứa sẵn số tài khoản, số tiền và nội dung là mã hoá đơn</t>
  </si>
  <si>
    <t xml:space="preserve">FR-INV-11</t>
  </si>
  <si>
    <t xml:space="preserve">Hệ thống phải cho phép ghi nhận nhiều lần thanh toán trên một hoá đơn, hỗ trợ thanh toán một phần</t>
  </si>
  <si>
    <t xml:space="preserve">FR-INV-12</t>
  </si>
  <si>
    <t xml:space="preserve">Hệ thống phải tự cập nhật trạng thái hoá đơn theo BR-08</t>
  </si>
  <si>
    <t xml:space="preserve">FR-INV-13</t>
  </si>
  <si>
    <t xml:space="preserve">Hệ thống phải sinh biên lai có mã cho mỗi lần ghi nhận thanh toán</t>
  </si>
  <si>
    <t xml:space="preserve">FR-INV-14</t>
  </si>
  <si>
    <t xml:space="preserve">Hệ thống phải cấm xoá bản ghi thanh toán; điều chỉnh chỉ thực hiện bằng bút toán đối ứng có lý do</t>
  </si>
  <si>
    <t xml:space="preserve">FR-INV-15</t>
  </si>
  <si>
    <t xml:space="preserve">Hệ thống phải cho phép tải lên file sao kê và đề xuất khớp giao dịch với hoá đơn, việc ghi nhận cần người dùng xác nhận</t>
  </si>
  <si>
    <t xml:space="preserve">FR-INV-16</t>
  </si>
  <si>
    <t xml:space="preserve">Hệ thống phải chuyển phần tiền thừa của một hoá đơn thành số dư khả dụng trừ vào kỳ sau</t>
  </si>
  <si>
    <t xml:space="preserve">FR-MNT-01</t>
  </si>
  <si>
    <t xml:space="preserve">MNT · Sự cố và bảo trì</t>
  </si>
  <si>
    <t xml:space="preserve">Hệ thống phải cho phép người thuê tạo yêu cầu sửa chữa kèm hạng mục, mô tả, mức độ và tối đa 5 ảnh</t>
  </si>
  <si>
    <t xml:space="preserve">FR-MNT-02</t>
  </si>
  <si>
    <t xml:space="preserve">Hệ thống phải sinh mã yêu cầu và thông báo tới quản lý toà nhà tương ứng</t>
  </si>
  <si>
    <t xml:space="preserve">FR-MNT-03</t>
  </si>
  <si>
    <t xml:space="preserve">Hệ thống phải quản lý yêu cầu theo vòng đời trạng thái quy định tại BR-16</t>
  </si>
  <si>
    <t xml:space="preserve">FR-MNT-04</t>
  </si>
  <si>
    <t xml:space="preserve">Hệ thống phải cho phép phân công yêu cầu cho thợ sửa chữa và gửi thông báo cho người được phân công</t>
  </si>
  <si>
    <t xml:space="preserve">FR-MNT-05</t>
  </si>
  <si>
    <t xml:space="preserve">Hệ thống phải cho phép ghi nhận chi phí sửa chữa và bên chịu chi phí</t>
  </si>
  <si>
    <t xml:space="preserve">FR-MNT-06</t>
  </si>
  <si>
    <t xml:space="preserve">Hệ thống phải tự tạo khoản phát sinh vào hoá đơn kỳ kế tiếp khi bên chịu chi phí là người thuê</t>
  </si>
  <si>
    <t xml:space="preserve">FR-MNT-07</t>
  </si>
  <si>
    <t xml:space="preserve">Hệ thống phải tự đóng yêu cầu sau 72 giờ nếu người thuê không phản hồi ở trạng thái Chờ xác nhận</t>
  </si>
  <si>
    <t xml:space="preserve">FR-MNT-08</t>
  </si>
  <si>
    <t xml:space="preserve">Hệ thống phải cung cấp lịch sử sửa chữa và tổng chi phí bảo trì theo phòng, theo toà, theo hạng mục</t>
  </si>
  <si>
    <t xml:space="preserve">FR-MNT-09</t>
  </si>
  <si>
    <t xml:space="preserve">Hệ thống phải cảnh báo khi một phòng có từ 3 sự cố cùng hạng mục trong 6 tháng</t>
  </si>
  <si>
    <t xml:space="preserve">FR-NTF-01</t>
  </si>
  <si>
    <t xml:space="preserve">NTF · Thông báo và nhắc việc</t>
  </si>
  <si>
    <t xml:space="preserve">Hệ thống phải hiển thị bảng nhắc việc trên màn hình chính của quản lý gồm ít nhất 5 nhóm việc</t>
  </si>
  <si>
    <t xml:space="preserve">FR-NTF-02</t>
  </si>
  <si>
    <t xml:space="preserve">Hệ thống phải cho phép soạn và gửi thông báo chung theo phạm vi toà / tầng / phòng được chọn</t>
  </si>
  <si>
    <t xml:space="preserve">FR-NTF-03</t>
  </si>
  <si>
    <t xml:space="preserve">Hệ thống phải ghi nhận và hiển thị danh sách phòng đã xem thông báo</t>
  </si>
  <si>
    <t xml:space="preserve">FR-NTF-04</t>
  </si>
  <si>
    <t xml:space="preserve">Hệ thống phải tự gửi nhắc thanh toán ở các mốc: trước hạn 3 ngày, quá hạn 1 ngày, quá hạn 5 ngày</t>
  </si>
  <si>
    <t xml:space="preserve">FR-NTF-05</t>
  </si>
  <si>
    <t xml:space="preserve">Hệ thống phải huỷ các nhắc nhở còn lại khi hoá đơn đã được thanh toán đủ</t>
  </si>
  <si>
    <t xml:space="preserve">FR-NTF-06</t>
  </si>
  <si>
    <t xml:space="preserve">Hệ thống phải cho phép bật/tắt và cấu hình mốc nhắc theo từng toà nhà</t>
  </si>
  <si>
    <t xml:space="preserve">FR-NTF-07</t>
  </si>
  <si>
    <t xml:space="preserve">Hệ thống phải gửi thông báo trong ứng dụng; kênh ngoài (email/chat) là tuỳ chọn mở rộng</t>
  </si>
  <si>
    <t xml:space="preserve">US-18, US-27</t>
  </si>
  <si>
    <t xml:space="preserve">FR-POR-01</t>
  </si>
  <si>
    <t xml:space="preserve">POR · Cổng người thuê</t>
  </si>
  <si>
    <t xml:space="preserve">Hệ thống phải hiển thị hoá đơn kỳ gần nhất ngay khi người thuê đăng nhập</t>
  </si>
  <si>
    <t xml:space="preserve">FR-POR-02</t>
  </si>
  <si>
    <t xml:space="preserve">Hệ thống phải hiển thị chi tiết từng khoản mục kèm chỉ số đầu kỳ, cuối kỳ, mức tiêu thụ, đơn giá, thành tiền</t>
  </si>
  <si>
    <t xml:space="preserve">FR-POR-03</t>
  </si>
  <si>
    <t xml:space="preserve">Hệ thống phải cho phép người thuê tra cứu tối thiểu 12 kỳ hoá đơn gần nhất</t>
  </si>
  <si>
    <t xml:space="preserve">FR-POR-04</t>
  </si>
  <si>
    <t xml:space="preserve">Hệ thống phải bảo đảm người thuê chỉ truy cập được dữ liệu của phòng mình</t>
  </si>
  <si>
    <t xml:space="preserve">FR-POR-05</t>
  </si>
  <si>
    <t xml:space="preserve">Hệ thống phải hiển thị biểu đồ tiêu thụ điện, nước theo 12 kỳ gần nhất</t>
  </si>
  <si>
    <t xml:space="preserve">FR-POR-06</t>
  </si>
  <si>
    <t xml:space="preserve">Hệ thống phải cho người thuê xem ảnh công tơ tương ứng từng kỳ</t>
  </si>
  <si>
    <t xml:space="preserve">US-14, US-29</t>
  </si>
  <si>
    <t xml:space="preserve">FR-POR-07</t>
  </si>
  <si>
    <t xml:space="preserve">Hệ thống phải hiển thị thông tin hợp đồng và cảnh báo khi còn dưới 30 ngày đến hạn</t>
  </si>
  <si>
    <t xml:space="preserve">FR-POR-08</t>
  </si>
  <si>
    <t xml:space="preserve">Hệ thống phải cho phép người thuê gửi yêu cầu gia hạn hoặc trả phòng, ghi nhận thời điểm gửi</t>
  </si>
  <si>
    <t xml:space="preserve">FR-POR-09</t>
  </si>
  <si>
    <t xml:space="preserve">Hệ thống phải duy trì quyền xem chỉ đọc trong 90 ngày sau khi hợp đồng thanh lý</t>
  </si>
  <si>
    <t xml:space="preserve">US-11, US-28</t>
  </si>
  <si>
    <t xml:space="preserve">FR-RPT-01</t>
  </si>
  <si>
    <t xml:space="preserve">RPT · Báo cáo</t>
  </si>
  <si>
    <t xml:space="preserve">Hệ thống phải cung cấp màn hình tổng quan tổng hợp mọi toà: doanh thu phát hành, đã thu, công nợ, tỷ lệ lấp đầy, số phòng trống, số sự cố đang mở</t>
  </si>
  <si>
    <t xml:space="preserve">FR-RPT-02</t>
  </si>
  <si>
    <t xml:space="preserve">Hệ thống phải cho phép lọc mọi báo cáo theo toà nhà và khoảng thời gian</t>
  </si>
  <si>
    <t xml:space="preserve">FR-RPT-03</t>
  </si>
  <si>
    <t xml:space="preserve">Hệ thống phải cung cấp báo cáo công nợ sắp xếp theo số ngày quá hạn giảm dần</t>
  </si>
  <si>
    <t xml:space="preserve">FR-RPT-04</t>
  </si>
  <si>
    <t xml:space="preserve">Hệ thống phải cho phép xuất báo cáo ra file Excel đúng với dữ liệu đang lọc</t>
  </si>
  <si>
    <t xml:space="preserve">FR-RPT-05</t>
  </si>
  <si>
    <t xml:space="preserve">Hệ thống phải cung cấp báo cáo tiêu thụ điện nước theo toà và theo phòng</t>
  </si>
  <si>
    <t xml:space="preserve">US-29, US-34</t>
  </si>
  <si>
    <t xml:space="preserve">FR-RPT-06</t>
  </si>
  <si>
    <t xml:space="preserve">Hệ thống phải cho phép nhập chỉ số công tơ tổng và tính chênh lệch với tổng tiêu thụ các phòng</t>
  </si>
  <si>
    <t xml:space="preserve">FR-RPT-07</t>
  </si>
  <si>
    <t xml:space="preserve">Hệ thống phải cảnh báo khi tỷ lệ chênh lệch công tơ tổng vượt ngưỡng cấu hình (mặc định 10%)</t>
  </si>
  <si>
    <t xml:space="preserve">FR-RPT-08</t>
  </si>
  <si>
    <t xml:space="preserve">Hệ thống phải cung cấp báo cáo chi phí bảo trì theo toà, hạng mục và thời gian</t>
  </si>
  <si>
    <t xml:space="preserve">FR-SEC-01</t>
  </si>
  <si>
    <t xml:space="preserve">SEC · An toàn, tuân thủ, nhật ký</t>
  </si>
  <si>
    <t xml:space="preserve">Hệ thống phải cho phép lưu trữ hồ sơ PCCC của từng toà nhà dưới dạng tệp đính kèm có phân loại</t>
  </si>
  <si>
    <t xml:space="preserve">FR-SEC-02</t>
  </si>
  <si>
    <t xml:space="preserve">Hệ thống phải quản lý danh mục thiết bị PCCC kèm hạn kiểm định và nhắc trước 30 ngày</t>
  </si>
  <si>
    <t xml:space="preserve">FR-SEC-03</t>
  </si>
  <si>
    <t xml:space="preserve">Hệ thống phải tạo việc cần làm khi đến kỳ tự kiểm tra an toàn định kỳ và cho ghi nhận kết quả theo danh mục kiểm tra</t>
  </si>
  <si>
    <t xml:space="preserve">FR-SEC-04</t>
  </si>
  <si>
    <t xml:space="preserve">Hệ thống phải tự tạo yêu cầu xử lý mức Khẩn cấp khi có hạng mục kiểm tra không đạt</t>
  </si>
  <si>
    <t xml:space="preserve">FR-SEC-05</t>
  </si>
  <si>
    <t xml:space="preserve">Hệ thống phải ghi nhật ký mọi thao tác thuộc nhóm nhạy cảm, lưu giá trị trước và sau</t>
  </si>
  <si>
    <t xml:space="preserve">FR-SEC-06</t>
  </si>
  <si>
    <t xml:space="preserve">Hệ thống phải cho phép tra cứu nhật ký theo người dùng, loại thao tác, thời gian, đối tượng</t>
  </si>
  <si>
    <t xml:space="preserve">FR-SEC-07</t>
  </si>
  <si>
    <t xml:space="preserve">Hệ thống phải bảo đảm nhật ký là chỉ đọc, không thể sửa hoặc xoá bởi bất kỳ vai trò nào</t>
  </si>
  <si>
    <t xml:space="preserve">Mã NFR</t>
  </si>
  <si>
    <t xml:space="preserve">Nhóm</t>
  </si>
  <si>
    <t xml:space="preserve">Yêu cầu</t>
  </si>
  <si>
    <t xml:space="preserve">Cách đo / nghiệm thu</t>
  </si>
  <si>
    <t xml:space="preserve">NFR-PER-01</t>
  </si>
  <si>
    <t xml:space="preserve">Hiệu năng</t>
  </si>
  <si>
    <t xml:space="preserve">Thời gian phản hồi của các thao tác tra cứu thông thường ≤ 2 giây với 95% số lần gọi</t>
  </si>
  <si>
    <t xml:space="preserve">Đo bằng công cụ kiểm thử tải, tập dữ liệu 5 toà × 50 phòng × 24 kỳ</t>
  </si>
  <si>
    <t xml:space="preserve">NFR-PER-02</t>
  </si>
  <si>
    <t xml:space="preserve">Tạo hoá đơn hàng loạt cho một toà 50 phòng hoàn tất trong ≤ 10 giây</t>
  </si>
  <si>
    <t xml:space="preserve">Bấm giờ trên tập dữ liệu mẫu</t>
  </si>
  <si>
    <t xml:space="preserve">NFR-PER-03</t>
  </si>
  <si>
    <t xml:space="preserve">Màn hình tổng quan tải xong trong ≤ 3 giây trên mạng 4G</t>
  </si>
  <si>
    <t xml:space="preserve">Đo bằng công cụ đo hiệu năng trình duyệt</t>
  </si>
  <si>
    <t xml:space="preserve">NFR-PER-04</t>
  </si>
  <si>
    <t xml:space="preserve">Hệ thống phục vụ đồng thời tối thiểu 50 người dùng mà thời gian phản hồi không tăng quá 50%</t>
  </si>
  <si>
    <t xml:space="preserve">Kiểm thử tải 50 người dùng ảo</t>
  </si>
  <si>
    <t xml:space="preserve">NFR-PER-05</t>
  </si>
  <si>
    <t xml:space="preserve">Ảnh công tơ được nén xuống ≤ 500 KB trước khi lưu, vẫn đọc rõ chỉ số</t>
  </si>
  <si>
    <t xml:space="preserve">Kiểm tra thủ công trên 20 ảnh mẫu</t>
  </si>
  <si>
    <t xml:space="preserve">NFR-USA-01</t>
  </si>
  <si>
    <t xml:space="preserve">Khả dụng / Trải nghiệm</t>
  </si>
  <si>
    <t xml:space="preserve">Toàn bộ giao diện hiển thị đúng trên màn hình rộng từ 360 px (điện thoại) đến 1920 px</t>
  </si>
  <si>
    <t xml:space="preserve">Kiểm tra trên 5 kích thước màn hình</t>
  </si>
  <si>
    <t xml:space="preserve">NFR-USA-02</t>
  </si>
  <si>
    <t xml:space="preserve">Người quản lý mới, sau 15 phút hướng dẫn, phải ghi xong chỉ số cho 30 phòng mà không cần trợ giúp</t>
  </si>
  <si>
    <t xml:space="preserve">Kiểm thử khả dụng với 3 người dùng thử</t>
  </si>
  <si>
    <t xml:space="preserve">NFR-USA-03</t>
  </si>
  <si>
    <t xml:space="preserve">Mọi nút thao tác chính trên giao diện điện thoại có kích thước tối thiểu 44×44 px</t>
  </si>
  <si>
    <t xml:space="preserve">Kiểm tra thiết kế</t>
  </si>
  <si>
    <t xml:space="preserve">NFR-USA-04</t>
  </si>
  <si>
    <t xml:space="preserve">Toàn bộ nhãn, thông báo lỗi bằng tiếng Việt có dấu, diễn đạt theo ngôn ngữ nghiệp vụ của người dùng, không hiển thị mã lỗi kỹ thuật</t>
  </si>
  <si>
    <t xml:space="preserve">Rà soát danh sách thông báo</t>
  </si>
  <si>
    <t xml:space="preserve">NFR-USA-05</t>
  </si>
  <si>
    <t xml:space="preserve">Mọi thao tác xoá hoặc không thể hoàn tác phải có bước xác nhận nêu rõ hậu quả</t>
  </si>
  <si>
    <t xml:space="preserve">Rà soát thiết kế</t>
  </si>
  <si>
    <t xml:space="preserve">NFR-USA-06</t>
  </si>
  <si>
    <t xml:space="preserve">Định dạng số tiền theo chuẩn Việt Nam (dấu chấm phân cách hàng nghìn, hậu tố đ) và ngày theo dd/MM/yyyy</t>
  </si>
  <si>
    <t xml:space="preserve">Rà soát giao diện</t>
  </si>
  <si>
    <t xml:space="preserve">NFR-SEC-01</t>
  </si>
  <si>
    <t xml:space="preserve">Bảo mật</t>
  </si>
  <si>
    <t xml:space="preserve">Mật khẩu lưu dưới dạng băm có muối bằng thuật toán chuyên dụng (bcrypt/Argon2), không lưu bản rõ</t>
  </si>
  <si>
    <t xml:space="preserve">Kiểm tra cơ sở dữ liệu</t>
  </si>
  <si>
    <t xml:space="preserve">NFR-SEC-02</t>
  </si>
  <si>
    <t xml:space="preserve">Toàn bộ kết nối dùng HTTPS; không truyền dữ liệu nhạy cảm qua HTTP</t>
  </si>
  <si>
    <t xml:space="preserve">Kiểm tra cấu hình</t>
  </si>
  <si>
    <t xml:space="preserve">NFR-SEC-03</t>
  </si>
  <si>
    <t xml:space="preserve">Kiểm soát truy cập theo vai trò được thực thi ở **phía máy chủ**, không chỉ ẩn nút trên giao diện</t>
  </si>
  <si>
    <t xml:space="preserve">Kiểm thử bằng cách gọi trực tiếp API với tài khoản không đủ quyền</t>
  </si>
  <si>
    <t xml:space="preserve">NFR-SEC-04</t>
  </si>
  <si>
    <t xml:space="preserve">Ảnh giấy tờ tuỳ thân lưu ở vùng không truy cập công khai, chỉ phát qua liên kết có thời hạn ≤ 15 phút</t>
  </si>
  <si>
    <t xml:space="preserve">Kiểm thử truy cập trực tiếp</t>
  </si>
  <si>
    <t xml:space="preserve">NFR-SEC-05</t>
  </si>
  <si>
    <t xml:space="preserve">Hệ thống chống được các lỗ hổng phổ biến: chèn câu lệnh SQL, XSS, giả mạo yêu cầu (CSRF), tham chiếu đối tượng trực tiếp không kiểm soát</t>
  </si>
  <si>
    <t xml:space="preserve">Kiểm thử theo danh mục OWASP Top 10</t>
  </si>
  <si>
    <t xml:space="preserve">NFR-SEC-06</t>
  </si>
  <si>
    <t xml:space="preserve">Phiên đăng nhập tự hết hạn sau 30 phút không hoạt động trên khu vực quản trị</t>
  </si>
  <si>
    <t xml:space="preserve">Kiểm thử thủ công</t>
  </si>
  <si>
    <t xml:space="preserve">NFR-SEC-07</t>
  </si>
  <si>
    <t xml:space="preserve">Dữ liệu cá nhân chỉ thu thập ở mức cần thiết cho mục đích quản lý cư trú và hợp đồng; có thông báo rõ cho người thuê</t>
  </si>
  <si>
    <t xml:space="preserve">Rà soát chính sách</t>
  </si>
  <si>
    <t xml:space="preserve">NFR-REL-01</t>
  </si>
  <si>
    <t xml:space="preserve">Tin cậy &amp; an toàn dữ liệu</t>
  </si>
  <si>
    <t xml:space="preserve">Sao lưu cơ sở dữ liệu tự động hằng ngày, giữ tối thiểu 30 bản gần nhất</t>
  </si>
  <si>
    <t xml:space="preserve">Kiểm tra lịch sao lưu</t>
  </si>
  <si>
    <t xml:space="preserve">NFR-REL-02</t>
  </si>
  <si>
    <t xml:space="preserve">Khôi phục dữ liệu từ bản sao lưu trong vòng 4 giờ (RTO), mất mát dữ liệu tối đa 24 giờ (RPO)</t>
  </si>
  <si>
    <t xml:space="preserve">Diễn tập khôi phục 1 lần</t>
  </si>
  <si>
    <t xml:space="preserve">NFR-REL-03</t>
  </si>
  <si>
    <t xml:space="preserve">Tỷ lệ sẵn sàng ≥ 99% trong khung giờ 6h–23h</t>
  </si>
  <si>
    <t xml:space="preserve">Nhật ký giám sát</t>
  </si>
  <si>
    <t xml:space="preserve">NFR-REL-04</t>
  </si>
  <si>
    <t xml:space="preserve">Thao tác tạo hoá đơn hàng loạt phải mang tính toàn vẹn: hoặc thành công cho một phòng, hoặc không tạo gì cho phòng đó — không để lại hoá đơn dở dang</t>
  </si>
  <si>
    <t xml:space="preserve">Kiểm thử ngắt giữa chừng</t>
  </si>
  <si>
    <t xml:space="preserve">NFR-REL-05</t>
  </si>
  <si>
    <t xml:space="preserve">Dữ liệu ghi chỉ số nhập khi mất mạng không được mất, tự đồng bộ khi có mạng</t>
  </si>
  <si>
    <t xml:space="preserve">Kiểm thử ngắt mạng</t>
  </si>
  <si>
    <t xml:space="preserve">NFR-MNT-01</t>
  </si>
  <si>
    <t xml:space="preserve">Bảo trì &amp; mở rộng</t>
  </si>
  <si>
    <t xml:space="preserve">Mã nguồn tổ chức theo module tương ứng các module chức năng ở mục 5.3, có tài liệu README hướng dẫn cài đặt</t>
  </si>
  <si>
    <t xml:space="preserve">—</t>
  </si>
  <si>
    <t xml:space="preserve">NFR-MNT-02</t>
  </si>
  <si>
    <t xml:space="preserve">Toàn bộ tham số nghiệp vụ (ngày chốt số, ngưỡng cảnh báo, số ngày hạn thanh toán, biểu giá) phải cấu hình được qua giao diện, **không** viết cứng trong mã</t>
  </si>
  <si>
    <t xml:space="preserve">NFR-MNT-03</t>
  </si>
  <si>
    <t xml:space="preserve">Kiến trúc dữ liệu phải cho phép mở rộng sang mô hình nhiều chủ sở hữu về sau mà không phải thiết kế lại (mọi bảng nghiệp vụ đều truy về được `toa_nha`)</t>
  </si>
  <si>
    <t xml:space="preserve">NFR-MNT-04</t>
  </si>
  <si>
    <t xml:space="preserve">Độ bao phủ kiểm thử tự động cho các hàm tính tiền đạt tối thiểu 80%</t>
  </si>
  <si>
    <t xml:space="preserve">NFR-MNT-05</t>
  </si>
  <si>
    <t xml:space="preserve">Hệ thống chịu được quy mô 20 toà nhà × 50 phòng × 5 năm dữ liệu mà không phải thay đổi kiến trúc</t>
  </si>
  <si>
    <t xml:space="preserve">NFR-COM-01</t>
  </si>
  <si>
    <t xml:space="preserve">Tương thích</t>
  </si>
  <si>
    <t xml:space="preserve">Hoạt động đúng trên Chrome, Edge, Safari, Firefox phiên bản mới nhất và một phiên bản liền trước</t>
  </si>
  <si>
    <t xml:space="preserve">NFR-COM-02</t>
  </si>
  <si>
    <t xml:space="preserve">Hoạt động tốt trên trình duyệt di động Android 10+ và iOS 15+</t>
  </si>
  <si>
    <t xml:space="preserve">NFR-COM-03</t>
  </si>
  <si>
    <t xml:space="preserve">Xuất được file Excel (.xlsx) và PDF mở được bằng phần mềm phổ thông</t>
  </si>
  <si>
    <t xml:space="preserve">NFR-COM-04</t>
  </si>
  <si>
    <t xml:space="preserve">Hỗ trợ tiếng Việt có dấu ở mọi nơi, kể cả trong tên file xuất ra và mã QR</t>
  </si>
  <si>
    <t xml:space="preserve">NFR-CMP-01</t>
  </si>
  <si>
    <t xml:space="preserve">Tuân thủ pháp lý</t>
  </si>
  <si>
    <t xml:space="preserve">Chức năng tính tiền điện phải hỗ trợ đúng biểu giá Nhà nước và nguyên tắc định mức 4 người/hộ đối với nhà cho thuê</t>
  </si>
  <si>
    <t xml:space="preserve">NFR-CMP-02</t>
  </si>
  <si>
    <t xml:space="preserve">Hệ thống lưu vết đơn giá và biểu giá đã áp dụng cho từng hoá đơn để phục vụ giải trình khi bị kiểm tra</t>
  </si>
  <si>
    <t xml:space="preserve">NFR-CMP-03</t>
  </si>
  <si>
    <t xml:space="preserve">Việc lưu trữ thông tin nhân thân người thuê phải có sự đồng ý của người thuê, có cơ chế xoá theo yêu cầu sau khi hết nghĩa vụ lưu trữ</t>
  </si>
  <si>
    <t xml:space="preserve">NFR-CMP-04</t>
  </si>
  <si>
    <t xml:space="preserve">Hệ thống không tự động gửi dữ liệu cá nhân tới bên thứ ba</t>
  </si>
  <si>
    <t xml:space="preserve">Mã BR</t>
  </si>
  <si>
    <t xml:space="preserve">Tên quy tắc</t>
  </si>
  <si>
    <t xml:space="preserve">Nội dung quy tắc</t>
  </si>
  <si>
    <t xml:space="preserve">FR/NFR liên quan</t>
  </si>
  <si>
    <t xml:space="preserve">BR-01</t>
  </si>
  <si>
    <t xml:space="preserve">Xác định kỳ hoá đơn</t>
  </si>
  <si>
    <t xml:space="preserve">Kỳ hoá đơn tháng M = từ ngày chốt số tháng M-1 đến ngày chốt số tháng M. Mặc định ngày 28, cấu hình theo toà. Tháng không có ngày đó thì lấy ngày cuối tháng.</t>
  </si>
  <si>
    <t xml:space="preserve">FR-INV-01, FR-BLD-01</t>
  </si>
  <si>
    <t xml:space="preserve">BR-02</t>
  </si>
  <si>
    <t xml:space="preserve">Mức tiêu thụ</t>
  </si>
  <si>
    <t xml:space="preserve">Mức tiêu thụ = Chỉ số cuối kỳ − Chỉ số đầu kỳ. Chỉ số đầu kỳ = chỉ số cuối kỳ liền trước; kỳ đầu lấy từ biên bản bàn giao.</t>
  </si>
  <si>
    <t xml:space="preserve">FR-MTR-02, FR-INV-02</t>
  </si>
  <si>
    <t xml:space="preserve">BR-02a</t>
  </si>
  <si>
    <t xml:space="preserve">Chế độ đơn giá cố định</t>
  </si>
  <si>
    <t xml:space="preserve">Chế độ đơn giá cố định: Tiền dịch vụ = Mức tiêu thụ × Đơn giá theo hợp đồng.</t>
  </si>
  <si>
    <t xml:space="preserve">BR-02b</t>
  </si>
  <si>
    <t xml:space="preserve">Chế độ bậc thang theo giá Nhà nước</t>
  </si>
  <si>
    <t xml:space="preserve">Chế độ bậc thang: áp biểu giá 6 bậc của Nhà nước (1.984 / 2.050 / 2.380 / 2.998 / 3.350 / 3.460 đ/kWh, hiệu lực 10/5/2025, chưa VAT). Biểu giá lưu kèm ngày hiệu lực.</t>
  </si>
  <si>
    <t xml:space="preserve">FR-BLD-07, FR-BLD-08</t>
  </si>
  <si>
    <t xml:space="preserve">BR-02c</t>
  </si>
  <si>
    <t xml:space="preserve">Định mức theo số người thuê</t>
  </si>
  <si>
    <t xml:space="preserve">Định mức nhà trọ: 4 người = 1 hộ. Số hộ quy đổi = ROUNDUP(Số người ÷ 4). Định mức mỗi bậc × số hộ quy đổi. Không xác định được số người → áp giá bậc 3 cho toàn bộ sản lượng.</t>
  </si>
  <si>
    <t xml:space="preserve">FR-BLD-07, NFR-CMP-01</t>
  </si>
  <si>
    <t xml:space="preserve">BR-03</t>
  </si>
  <si>
    <t xml:space="preserve">Tiền nước</t>
  </si>
  <si>
    <t xml:space="preserve">Tiền nước: theo chỉ số (m³ × đơn giá) hoặc theo đầu người (số người × đơn giá/người/tháng), chọn theo hợp đồng.</t>
  </si>
  <si>
    <t xml:space="preserve">BR-04</t>
  </si>
  <si>
    <t xml:space="preserve">Phí cố định</t>
  </si>
  <si>
    <t xml:space="preserve">Phí cố định (rác, internet, quản lý, thang máy) tính trọn kỳ, KHÔNG chia theo ngày.</t>
  </si>
  <si>
    <t xml:space="preserve">BR-05</t>
  </si>
  <si>
    <t xml:space="preserve">Phí gửi xe</t>
  </si>
  <si>
    <t xml:space="preserve">Phí gửi xe = Σ (số xe loại k tại thời điểm chốt kỳ × đơn giá loại k). Xe đăng ký giữa kỳ tính tròn kỳ.</t>
  </si>
  <si>
    <t xml:space="preserve">BR-06</t>
  </si>
  <si>
    <t xml:space="preserve">Chia tiền phòng theo ngày (pro-rata)</t>
  </si>
  <si>
    <t xml:space="preserve">Tiền phòng khi vào/ra giữa kỳ = Giá thuê tháng ÷ Số ngày của kỳ × Số ngày ở thực tế. Ngày vào tính, ngày trả không tính. Hoá đơn ghi rõ tỷ lệ.</t>
  </si>
  <si>
    <t xml:space="preserve">BR-07</t>
  </si>
  <si>
    <t xml:space="preserve">Tiền cọc và quyết toán</t>
  </si>
  <si>
    <t xml:space="preserve">Tiền cọc thu riêng, không nằm trong hoá đơn kỳ. Khi thanh lý: Hoàn lại = Tiền cọc − Công nợ − Khấu trừ hư hỏng. Âm → tạo khoản phải thu.</t>
  </si>
  <si>
    <t xml:space="preserve">FR-TNT-08, FR-TNT-09</t>
  </si>
  <si>
    <t xml:space="preserve">BR-08</t>
  </si>
  <si>
    <t xml:space="preserve">Vòng đời trạng thái hoá đơn</t>
  </si>
  <si>
    <t xml:space="preserve">Vòng đời hoá đơn: Nháp → Đã phát hành → Đã thu một phần → Đã thanh toán; nhánh Quá hạn và Đã huỷ. Chỉ Nháp mới sửa được. Chỉ Chủ sở hữu được huỷ, bắt buộc lý do.</t>
  </si>
  <si>
    <t xml:space="preserve">FR-INV-06, FR-INV-12</t>
  </si>
  <si>
    <t xml:space="preserve">BR-09</t>
  </si>
  <si>
    <t xml:space="preserve">Kiểm tra tính hợp lệ của chỉ số</t>
  </si>
  <si>
    <t xml:space="preserve">Chỉ số mới ≥ chỉ số cũ, vi phạm thì chặn. Thay công tơ: tiêu thụ = (cuối cũ − đầu kỳ) + (cuối kỳ − đầu mới). Cảnh báo khi tiêu thụ &gt; 1,5 × trung bình 3 kỳ.</t>
  </si>
  <si>
    <t xml:space="preserve">FR-MTR-03, FR-MTR-04, FR-MTR-09</t>
  </si>
  <si>
    <t xml:space="preserve">BR-10</t>
  </si>
  <si>
    <t xml:space="preserve">Ràng buộc hợp đồng</t>
  </si>
  <si>
    <t xml:space="preserve">Một phòng tại một thời điểm chỉ có tối đa 1 hợp đồng hiệu lực. Ngày bắt đầu &lt; ngày kết thúc. Số người ở ≤ sức chứa (vượt thì cảnh báo + ghi lý do).</t>
  </si>
  <si>
    <t xml:space="preserve">FR-TNT-05, FR-TNT-03</t>
  </si>
  <si>
    <t xml:space="preserve">BR-11</t>
  </si>
  <si>
    <t xml:space="preserve">Trạng thái phòng</t>
  </si>
  <si>
    <t xml:space="preserve">Trạng thái phòng suy ra tự động: có HĐ hiệu lực → Đang thuê; đã cọc chưa bắt đầu → Đã đặt cọc; đang sửa → Đang sửa chữa; còn lại → Trống.</t>
  </si>
  <si>
    <t xml:space="preserve">BR-12</t>
  </si>
  <si>
    <t xml:space="preserve">Xác định quá hạn</t>
  </si>
  <si>
    <t xml:space="preserve">Quá hạn khi Ngày hiện tại &gt; Hạn thanh toán VÀ đã thu &lt; tổng phải thu. Hạn mặc định = ngày phát hành + 5 ngày (cấu hình theo toà).</t>
  </si>
  <si>
    <t xml:space="preserve">BR-13</t>
  </si>
  <si>
    <t xml:space="preserve">Số dư khả dụng</t>
  </si>
  <si>
    <t xml:space="preserve">Tiền thu vượt → số dư khả dụng của phòng, tự trừ vào hoá đơn kỳ kế tiếp trước khi tính số phải thu.</t>
  </si>
  <si>
    <t xml:space="preserve">BR-14</t>
  </si>
  <si>
    <t xml:space="preserve">Nhắc hợp đồng hết hạn</t>
  </si>
  <si>
    <t xml:space="preserve">Hợp đồng còn ≤ 30 ngày đến hạn xuất hiện trên bảng nhắc việc của quản lý và trên cổng người thuê.</t>
  </si>
  <si>
    <t xml:space="preserve">BR-15</t>
  </si>
  <si>
    <t xml:space="preserve">Làm tròn</t>
  </si>
  <si>
    <t xml:space="preserve">Từng khoản chính xác đến đồng; tổng hoá đơn làm tròn đến 1.000 đ (nửa lên), chênh lệch ghi vào dòng "Làm tròn".</t>
  </si>
  <si>
    <t xml:space="preserve">BR-16</t>
  </si>
  <si>
    <t xml:space="preserve">Vòng đời yêu cầu sửa chữa</t>
  </si>
  <si>
    <t xml:space="preserve">Vòng đời sự cố: Mới tiếp nhận → Đã tiếp nhận → Đã phân công → Đang xử lý → Chờ xác nhận → Đã đóng. Tự đóng sau 72 giờ không phản hồi. Có thể Huỷ kèm lý do.</t>
  </si>
  <si>
    <t xml:space="preserve">BR-17</t>
  </si>
  <si>
    <t xml:space="preserve">Bảo mật dữ liệu cá nhân</t>
  </si>
  <si>
    <t xml:space="preserve">Ảnh giấy tờ chỉ hiển thị cho Chủ sở hữu và Quản lý của chính toà đó; mọi lượt xem ghi nhật ký; không đặt ở đường dẫn công khai đoán được.</t>
  </si>
  <si>
    <t xml:space="preserve">FR-TNT-01, NFR-SEC-04</t>
  </si>
  <si>
    <t xml:space="preserve">BR-18</t>
  </si>
  <si>
    <t xml:space="preserve">Không xoá dữ liệu tài chính</t>
  </si>
  <si>
    <t xml:space="preserve">Hoá đơn đã phát hành, bản ghi thanh toán và nhật ký KHÔNG bao giờ xoá vật lý; chỉ đánh dấu trạng thái hoặc bù trừ bằng bút toán đối ứng.</t>
  </si>
  <si>
    <t xml:space="preserve">FR-INV-14, FR-SEC-07</t>
  </si>
  <si>
    <t xml:space="preserve">BR-19</t>
  </si>
  <si>
    <t xml:space="preserve">Ngưỡng thất thoát điện nước</t>
  </si>
  <si>
    <t xml:space="preserve">Tỷ lệ chênh lệch = (Công tơ tổng − Σ tiêu thụ các phòng − Khu vực chung) ÷ Công tơ tổng. Vượt ngưỡng (mặc định 10%) → cảnh báo.</t>
  </si>
  <si>
    <t xml:space="preserve">FR-RPT-06, FR-RPT-07</t>
  </si>
  <si>
    <t xml:space="preserve">BR-20</t>
  </si>
  <si>
    <t xml:space="preserve">Chu kỳ tuân thủ an toàn</t>
  </si>
  <si>
    <t xml:space="preserve">Toà nhà có lịch tự kiểm tra PCCC theo chu kỳ (mặc định 6 tháng) và báo cáo hằng năm; thiết bị PCCC có hạn kiểm định, nhắc trước 30 ngày.</t>
  </si>
  <si>
    <t xml:space="preserve">FR-SEC-02, FR-SEC-03</t>
  </si>
  <si>
    <t xml:space="preserve">Mục tiêu</t>
  </si>
  <si>
    <t xml:space="preserve">Tên mục tiêu</t>
  </si>
  <si>
    <t xml:space="preserve">Phát hiện</t>
  </si>
  <si>
    <t xml:space="preserve">Yêu cầu chức năng</t>
  </si>
  <si>
    <t xml:space="preserve">Quy tắc NV</t>
  </si>
  <si>
    <t xml:space="preserve">Ca kiểm thử dự kiến</t>
  </si>
  <si>
    <t xml:space="preserve">BG-01</t>
  </si>
  <si>
    <t xml:space="preserve">Rút ngắn thời gian chốt sổ</t>
  </si>
  <si>
    <t xml:space="preserve">F1, F2</t>
  </si>
  <si>
    <t xml:space="preserve">US-13, US-16</t>
  </si>
  <si>
    <t xml:space="preserve">FR-MTR-01, FR-MTR-02, FR-MTR-08, FR-INV-01</t>
  </si>
  <si>
    <t xml:space="preserve">TC-013-01: ghi chỉ số 30 phòng trong ≤ 15 phút</t>
  </si>
  <si>
    <t xml:space="preserve">F1</t>
  </si>
  <si>
    <t xml:space="preserve">TC-016-01: tạo hoá đơn 50 phòng trong ≤ 10 giây</t>
  </si>
  <si>
    <t xml:space="preserve">BG-02</t>
  </si>
  <si>
    <t xml:space="preserve">Giảm sai sót tính tiền</t>
  </si>
  <si>
    <t xml:space="preserve">F2</t>
  </si>
  <si>
    <t xml:space="preserve">TC-013-02: nhập chỉ số nhỏ hơn kỳ trước → bị chặn</t>
  </si>
  <si>
    <t xml:space="preserve">F4</t>
  </si>
  <si>
    <t xml:space="preserve">TC-016-03: vào ở ngày 17 → tiền phòng = giá÷31×12</t>
  </si>
  <si>
    <t xml:space="preserve">TC-015-01: thay công tơ giữa kỳ → tiêu thụ cộng hai đoạn</t>
  </si>
  <si>
    <t xml:space="preserve">TC-006-01: tăng giá từ 01/09 → hoá đơn tháng 8 giữ giá cũ</t>
  </si>
  <si>
    <t xml:space="preserve">F8</t>
  </si>
  <si>
    <t xml:space="preserve">TC-034-01: chênh lệch 12% → hiện cảnh báo</t>
  </si>
  <si>
    <t xml:space="preserve">BG-03</t>
  </si>
  <si>
    <t xml:space="preserve">Tăng tỷ lệ thu đúng hạn</t>
  </si>
  <si>
    <t xml:space="preserve">F6</t>
  </si>
  <si>
    <t xml:space="preserve">TC-019-01: QR chứa đúng mã hoá đơn và số tiền còn lại</t>
  </si>
  <si>
    <t xml:space="preserve">FR-NTF-04, FR-NTF-05</t>
  </si>
  <si>
    <t xml:space="preserve">TC-027-02: quá hạn 1 ngày → gửi nhắc lần 2</t>
  </si>
  <si>
    <t xml:space="preserve">FR-INV-11, FR-INV-12</t>
  </si>
  <si>
    <t xml:space="preserve">BR-08, BR-13</t>
  </si>
  <si>
    <t xml:space="preserve">TC-020-02: thu thiếu → Đã thu một phần; thu thừa → sinh số dư</t>
  </si>
  <si>
    <t xml:space="preserve">BG-04</t>
  </si>
  <si>
    <t xml:space="preserve">Minh bạch chỉ số với người thuê</t>
  </si>
  <si>
    <t xml:space="preserve">F3</t>
  </si>
  <si>
    <t xml:space="preserve">FR-MTR-06, FR-MTR-07</t>
  </si>
  <si>
    <t xml:space="preserve">TC-014-02: bật bắt buộc ảnh → thiếu ảnh thì không lưu được</t>
  </si>
  <si>
    <t xml:space="preserve">F10</t>
  </si>
  <si>
    <t xml:space="preserve">FR-POR-02, FR-POR-06</t>
  </si>
  <si>
    <t xml:space="preserve">TC-028-01: hoá đơn hiển thị đủ chỉ số đầu–cuối và ảnh công tơ</t>
  </si>
  <si>
    <t xml:space="preserve">F13</t>
  </si>
  <si>
    <t xml:space="preserve">TC-029-01: biểu đồ 12 kỳ, kỳ bất thường được làm nổi bật</t>
  </si>
  <si>
    <t xml:space="preserve">BG-05</t>
  </si>
  <si>
    <t xml:space="preserve">Rút ngắn thời gian xử lý sự cố</t>
  </si>
  <si>
    <t xml:space="preserve">F12</t>
  </si>
  <si>
    <t xml:space="preserve">FR-MNT-01, FR-MNT-02</t>
  </si>
  <si>
    <t xml:space="preserve">TC-022-01: gửi yêu cầu Khẩn cấp → quản lý nhận thông báo ưu tiên</t>
  </si>
  <si>
    <t xml:space="preserve">FR-MNT-03, FR-MNT-04, FR-MNT-07</t>
  </si>
  <si>
    <t xml:space="preserve">TC-023-04: chờ xác nhận quá 72h → tự đóng</t>
  </si>
  <si>
    <t xml:space="preserve">TC-023-05: chi phí do người thuê chịu → phát sinh vào hoá đơn kỳ sau</t>
  </si>
  <si>
    <t xml:space="preserve">BG-06</t>
  </si>
  <si>
    <t xml:space="preserve">Báo cáo tổng hợp nhiều toà</t>
  </si>
  <si>
    <t xml:space="preserve">F5</t>
  </si>
  <si>
    <t xml:space="preserve">TC-002-02: quản lý toà A gọi dữ liệu toà B → bị từ chối</t>
  </si>
  <si>
    <t xml:space="preserve">FR-RPT-01, FR-RPT-02</t>
  </si>
  <si>
    <t xml:space="preserve">TC-032-01: tổng quan 3 toà tải xong ≤ 3 giây</t>
  </si>
  <si>
    <t xml:space="preserve">FR-RPT-03, FR-RPT-04</t>
  </si>
  <si>
    <t xml:space="preserve">TC-033-01: danh sách công nợ sắp xếp theo ngày quá hạn giảm dần</t>
  </si>
  <si>
    <t xml:space="preserve">FR-SEC-05, FR-SEC-06, FR-SEC-07</t>
  </si>
  <si>
    <t xml:space="preserve">TC-037-01: sửa đơn giá → nhật ký ghi giá trước và sau</t>
  </si>
  <si>
    <t xml:space="preserve">Tuân thủ</t>
  </si>
  <si>
    <t xml:space="preserve">Quy định PCCC</t>
  </si>
  <si>
    <t xml:space="preserve">FR-SEC-01, FR-SEC-02, FR-SEC-03</t>
  </si>
  <si>
    <t xml:space="preserve">TC-035-01: thiết bị còn 30 ngày hạn kiểm định → xuất hiện nhắc việc</t>
  </si>
  <si>
    <t xml:space="preserve">Quy định cư trú</t>
  </si>
  <si>
    <t xml:space="preserve">TC-036-01: người ở quá 30 ngày chưa khai báo → vào bảng nhắc việc</t>
  </si>
  <si>
    <t xml:space="preserve">Quy định giá điện</t>
  </si>
  <si>
    <t xml:space="preserve">BR-02b, BR-02c</t>
  </si>
  <si>
    <t xml:space="preserve">TC-006-02: phòng 5 người → định mức nhân 2 hộ</t>
  </si>
  <si>
    <t xml:space="preserve">Tuần</t>
  </si>
  <si>
    <t xml:space="preserve">Ngày</t>
  </si>
  <si>
    <t xml:space="preserve">Công việc</t>
  </si>
  <si>
    <t xml:space="preserve">Người phụ trách</t>
  </si>
  <si>
    <t xml:space="preserve">Đầu ra</t>
  </si>
  <si>
    <t xml:space="preserve">Tuần 1</t>
  </si>
  <si>
    <t xml:space="preserve">Ngày 1</t>
  </si>
  <si>
    <t xml:space="preserve">Thống nhất phạm vi, chốt danh sách stakeholder</t>
  </si>
  <si>
    <t xml:space="preserve">Cả nhóm</t>
  </si>
  <si>
    <t xml:space="preserve">Mục 1, 2</t>
  </si>
  <si>
    <t xml:space="preserve">Ngày 2</t>
  </si>
  <si>
    <t xml:space="preserve">Soạn bộ câu hỏi phỏng vấn và bảng hỏi</t>
  </si>
  <si>
    <t xml:space="preserve">Thành viên 1</t>
  </si>
  <si>
    <t xml:space="preserve">Mục 3.2, 3.3</t>
  </si>
  <si>
    <t xml:space="preserve">Ngày 2–3</t>
  </si>
  <si>
    <t xml:space="preserve">Thu thập, phân tích tài liệu nghiệp vụ và quy định pháp luật</t>
  </si>
  <si>
    <t xml:space="preserve">Thành viên 2</t>
  </si>
  <si>
    <t xml:space="preserve">Mục 3.5</t>
  </si>
  <si>
    <t xml:space="preserve">Ngày 3</t>
  </si>
  <si>
    <t xml:space="preserve">Đối sánh 3 sản phẩm cùng loại trên thị trường</t>
  </si>
  <si>
    <t xml:space="preserve">Mục 3.5.2</t>
  </si>
  <si>
    <t xml:space="preserve">Ngày 4–5</t>
  </si>
  <si>
    <t xml:space="preserve">Viết user story và tiêu chí chấp nhận</t>
  </si>
  <si>
    <t xml:space="preserve">Thành viên 1 + 3</t>
  </si>
  <si>
    <t xml:space="preserve">Mục 4</t>
  </si>
  <si>
    <t xml:space="preserve">Ngày 5</t>
  </si>
  <si>
    <t xml:space="preserve">Review chéo lần 1</t>
  </si>
  <si>
    <t xml:space="preserve">Danh sách chỗ cần sửa</t>
  </si>
  <si>
    <t xml:space="preserve">Tuần 2</t>
  </si>
  <si>
    <t xml:space="preserve">Ngày 6–7</t>
  </si>
  <si>
    <t xml:space="preserve">Viết yêu cầu chức năng và phi chức năng</t>
  </si>
  <si>
    <t xml:space="preserve">Thành viên 3</t>
  </si>
  <si>
    <t xml:space="preserve">Mục 5.3, 5.5</t>
  </si>
  <si>
    <t xml:space="preserve">Viết quy tắc nghiệp vụ và ví dụ tính hoá đơn</t>
  </si>
  <si>
    <t xml:space="preserve">Mục 5.4</t>
  </si>
  <si>
    <t xml:space="preserve">Ngày 8–9</t>
  </si>
  <si>
    <t xml:space="preserve">Vẽ Use Case, Activity, DFD</t>
  </si>
  <si>
    <t xml:space="preserve">Thành viên 4</t>
  </si>
  <si>
    <t xml:space="preserve">Mục 6.1–6.4</t>
  </si>
  <si>
    <t xml:space="preserve">Ngày 9–10</t>
  </si>
  <si>
    <t xml:space="preserve">Vẽ ERD và viết mô tả thực thể</t>
  </si>
  <si>
    <t xml:space="preserve">Mục 6.5</t>
  </si>
  <si>
    <t xml:space="preserve">Ngày 10</t>
  </si>
  <si>
    <t xml:space="preserve">Lập ma trận truy vết</t>
  </si>
  <si>
    <t xml:space="preserve">Mục 7.3 + file Excel</t>
  </si>
  <si>
    <t xml:space="preserve">Ngày 11</t>
  </si>
  <si>
    <t xml:space="preserve">Review chéo lần 2, xử lý mâu thuẫn</t>
  </si>
  <si>
    <t xml:space="preserve">Mục 7.2</t>
  </si>
  <si>
    <t xml:space="preserve">Ngày 12</t>
  </si>
  <si>
    <t xml:space="preserve">Hoàn thiện định dạng, mục lục, nộp bài</t>
  </si>
  <si>
    <t xml:space="preserve">Nhóm trưởng</t>
  </si>
  <si>
    <t xml:space="preserve">Bản 1.0</t>
  </si>
  <si>
    <t xml:space="preserve">Rủi ro</t>
  </si>
  <si>
    <t xml:space="preserve">Khả năng</t>
  </si>
  <si>
    <t xml:space="preserve">Ảnh hưởng</t>
  </si>
  <si>
    <t xml:space="preserve">Biện pháp giảm thiểu</t>
  </si>
  <si>
    <t xml:space="preserve">R-01</t>
  </si>
  <si>
    <t xml:space="preserve">Phình phạm vi: ôm thêm thanh toán online, app di động, IoT</t>
  </si>
  <si>
    <t xml:space="preserve">Ghi rõ danh sách Out of scope ở mục 1.3; mọi bổ sung phải qua quy trình CR ở mục 8.3</t>
  </si>
  <si>
    <t xml:space="preserve">R-02</t>
  </si>
  <si>
    <t xml:space="preserve">Không có dữ liệu người dùng thật, yêu cầu lệch thực tế</t>
  </si>
  <si>
    <t xml:space="preserve">Ghi rõ giả định; bám tài liệu pháp quy và mẫu biểu có thật; sẵn bộ câu hỏi để khảo sát khi có điều kiện</t>
  </si>
  <si>
    <t xml:space="preserve">R-03</t>
  </si>
  <si>
    <t xml:space="preserve">Sai sót trong công thức tính tiền</t>
  </si>
  <si>
    <t xml:space="preserve">Rất cao</t>
  </si>
  <si>
    <t xml:space="preserve">Viết BR chi tiết kèm ví dụ số; bắt buộc kiểm thử đơn vị cho hàm tính tiền</t>
  </si>
  <si>
    <t xml:space="preserve">R-04</t>
  </si>
  <si>
    <t xml:space="preserve">Biểu giá điện Nhà nước thay đổi giữa kỳ làm đồ án</t>
  </si>
  <si>
    <t xml:space="preserve">Thiết kế biểu giá theo ngày hiệu lực, không viết cứng trong mã</t>
  </si>
  <si>
    <t xml:space="preserve">R-05</t>
  </si>
  <si>
    <t xml:space="preserve">Thành viên lệch tiến độ, dồn việc cuối kỳ</t>
  </si>
  <si>
    <t xml:space="preserve">Chia việc theo sheet Ke hoach, có mốc review giữa chừng</t>
  </si>
  <si>
    <t xml:space="preserve">R-06</t>
  </si>
  <si>
    <t xml:space="preserve">Không kịp làm hết chức năng đã đặc tả</t>
  </si>
  <si>
    <t xml:space="preserve">Đã xếp ưu tiên MoSCoW; bảo vệ được nếu hoàn thành tập Must have</t>
  </si>
  <si>
    <t xml:space="preserve">R-07</t>
  </si>
  <si>
    <t xml:space="preserve">Rò rỉ dữ liệu cá nhân trong bản demo</t>
  </si>
  <si>
    <t xml:space="preserve">Dùng dữ liệu giả khi demo; không tải ảnh giấy tờ thật lên hệ thống thử nghiệm</t>
  </si>
</sst>
</file>

<file path=xl/styles.xml><?xml version="1.0" encoding="utf-8"?>
<styleSheet xmlns="http://schemas.openxmlformats.org/spreadsheetml/2006/main">
  <numFmts count="2">
    <numFmt numFmtId="164" formatCode="General"/>
    <numFmt numFmtId="165" formatCode="0.0%"/>
  </numFmts>
  <fonts count="10">
    <font>
      <sz val="11"/>
      <color theme="1"/>
      <name val="Calibri"/>
      <family val="2"/>
      <charset val="1"/>
    </font>
    <font>
      <sz val="10"/>
      <name val="Arial"/>
      <family val="0"/>
    </font>
    <font>
      <sz val="10"/>
      <name val="Arial"/>
      <family val="0"/>
    </font>
    <font>
      <sz val="10"/>
      <name val="Arial"/>
      <family val="0"/>
    </font>
    <font>
      <b val="true"/>
      <sz val="14"/>
      <color rgb="FF1F3864"/>
      <name val="Arial"/>
      <family val="0"/>
      <charset val="1"/>
    </font>
    <font>
      <i val="true"/>
      <sz val="10"/>
      <name val="Arial"/>
      <family val="0"/>
      <charset val="1"/>
    </font>
    <font>
      <sz val="10"/>
      <name val="Arial"/>
      <family val="0"/>
      <charset val="1"/>
    </font>
    <font>
      <b val="true"/>
      <sz val="11"/>
      <color rgb="FF1F3864"/>
      <name val="Arial"/>
      <family val="0"/>
      <charset val="1"/>
    </font>
    <font>
      <b val="true"/>
      <sz val="10"/>
      <name val="Arial"/>
      <family val="0"/>
      <charset val="1"/>
    </font>
    <font>
      <b val="true"/>
      <sz val="11"/>
      <color rgb="FFFFFFFF"/>
      <name val="Arial"/>
      <family val="0"/>
      <charset val="1"/>
    </font>
  </fonts>
  <fills count="6">
    <fill>
      <patternFill patternType="none"/>
    </fill>
    <fill>
      <patternFill patternType="gray125"/>
    </fill>
    <fill>
      <patternFill patternType="solid">
        <fgColor rgb="FF1F3864"/>
        <bgColor rgb="FF333333"/>
      </patternFill>
    </fill>
    <fill>
      <patternFill patternType="solid">
        <fgColor rgb="FFFCE4E4"/>
        <bgColor rgb="FFFFF2CC"/>
      </patternFill>
    </fill>
    <fill>
      <patternFill patternType="solid">
        <fgColor rgb="FFFFF2CC"/>
        <bgColor rgb="FFFCE4E4"/>
      </patternFill>
    </fill>
    <fill>
      <patternFill patternType="solid">
        <fgColor rgb="FFE2EFDA"/>
        <bgColor rgb="FFFFF2CC"/>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5" fontId="8" fillId="0" borderId="0" xfId="0" applyFont="true" applyBorder="false" applyAlignment="false" applyProtection="false">
      <alignment horizontal="general" vertical="bottom" textRotation="0" wrapText="false" indent="0" shrinkToFit="false"/>
      <protection locked="true" hidden="false"/>
    </xf>
    <xf numFmtId="164" fontId="9" fillId="2" borderId="1" xfId="0" applyFont="true" applyBorder="true" applyAlignment="true" applyProtection="false">
      <alignment horizontal="center" vertical="center" textRotation="0" wrapText="true" indent="0" shrinkToFit="false"/>
      <protection locked="true" hidden="false"/>
    </xf>
    <xf numFmtId="164" fontId="6" fillId="0" borderId="1" xfId="0" applyFont="true" applyBorder="true" applyAlignment="true" applyProtection="false">
      <alignment horizontal="general" vertical="top" textRotation="0" wrapText="fals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6" fillId="3" borderId="1" xfId="0" applyFont="true" applyBorder="true" applyAlignment="true" applyProtection="false">
      <alignment horizontal="general" vertical="top" textRotation="0" wrapText="false" indent="0" shrinkToFit="false"/>
      <protection locked="true" hidden="false"/>
    </xf>
    <xf numFmtId="164" fontId="6" fillId="4" borderId="1" xfId="0" applyFont="true" applyBorder="true" applyAlignment="true" applyProtection="false">
      <alignment horizontal="general" vertical="top" textRotation="0" wrapText="false" indent="0" shrinkToFit="false"/>
      <protection locked="true" hidden="false"/>
    </xf>
    <xf numFmtId="164" fontId="6" fillId="5" borderId="1" xfId="0" applyFont="true" applyBorder="true" applyAlignment="true" applyProtection="false">
      <alignment horizontal="general" vertical="top"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6">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
      <fill>
        <patternFill patternType="solid">
          <fgColor rgb="FFE2EFDA"/>
          <bgColor rgb="FF000000"/>
        </patternFill>
      </fill>
    </dxf>
    <dxf>
      <fill>
        <patternFill patternType="solid">
          <fgColor rgb="FFFCE4E4"/>
          <bgColor rgb="FF000000"/>
        </patternFill>
      </fill>
    </dxf>
    <dxf>
      <fill>
        <patternFill patternType="solid">
          <fgColor rgb="FFFFF2CC"/>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CE4E4"/>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drawings/drawing6.xml><?xml version="1.0" encoding="utf-8"?>
<xdr:wsDr xmlns:xdr="http://schemas.openxmlformats.org/drawingml/2006/spreadsheetDrawing" xmlns:a="http://schemas.openxmlformats.org/drawingml/2006/main" xmlns:r="http://schemas.openxmlformats.org/officeDocument/2006/relationships"/>
</file>

<file path=xl/drawings/drawing7.xml><?xml version="1.0" encoding="utf-8"?>
<xdr:wsDr xmlns:xdr="http://schemas.openxmlformats.org/drawingml/2006/spreadsheetDrawing" xmlns:a="http://schemas.openxmlformats.org/drawingml/2006/main" xmlns:r="http://schemas.openxmlformats.org/officeDocument/2006/relationships"/>
</file>

<file path=xl/drawings/drawing8.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_rels/sheet4.xml.rels><?xml version="1.0" encoding="UTF-8"?>
<Relationships xmlns="http://schemas.openxmlformats.org/package/2006/relationships"><Relationship Id="rId1" Type="http://schemas.openxmlformats.org/officeDocument/2006/relationships/drawing" Target="../drawings/drawing3.xml"/>
</Relationships>
</file>

<file path=xl/worksheets/_rels/sheet5.xml.rels><?xml version="1.0" encoding="UTF-8"?>
<Relationships xmlns="http://schemas.openxmlformats.org/package/2006/relationships"><Relationship Id="rId1" Type="http://schemas.openxmlformats.org/officeDocument/2006/relationships/drawing" Target="../drawings/drawing4.xml"/>
</Relationships>
</file>

<file path=xl/worksheets/_rels/sheet6.xml.rels><?xml version="1.0" encoding="UTF-8"?>
<Relationships xmlns="http://schemas.openxmlformats.org/package/2006/relationships"><Relationship Id="rId1" Type="http://schemas.openxmlformats.org/officeDocument/2006/relationships/drawing" Target="../drawings/drawing5.xml"/>
</Relationships>
</file>

<file path=xl/worksheets/_rels/sheet7.xml.rels><?xml version="1.0" encoding="UTF-8"?>
<Relationships xmlns="http://schemas.openxmlformats.org/package/2006/relationships"><Relationship Id="rId1" Type="http://schemas.openxmlformats.org/officeDocument/2006/relationships/drawing" Target="../drawings/drawing6.xml"/>
</Relationships>
</file>

<file path=xl/worksheets/_rels/sheet8.xml.rels><?xml version="1.0" encoding="UTF-8"?>
<Relationships xmlns="http://schemas.openxmlformats.org/package/2006/relationships"><Relationship Id="rId1" Type="http://schemas.openxmlformats.org/officeDocument/2006/relationships/drawing" Target="../drawings/drawing7.xml"/>
</Relationships>
</file>

<file path=xl/worksheets/_rels/sheet9.xml.rels><?xml version="1.0" encoding="UTF-8"?>
<Relationships xmlns="http://schemas.openxmlformats.org/package/2006/relationships"><Relationship Id="rId1" Type="http://schemas.openxmlformats.org/officeDocument/2006/relationships/drawing" Target="../drawings/drawing8.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8"/>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78"/>
    <col collapsed="false" customWidth="true" hidden="false" outlineLevel="0" max="3" min="3" style="0" width="30"/>
    <col collapsed="false" customWidth="true" hidden="false" outlineLevel="0" max="4" min="4" style="0" width="14"/>
  </cols>
  <sheetData>
    <row r="1" customFormat="false" ht="17.35" hidden="false" customHeight="false" outlineLevel="0" collapsed="false">
      <c r="A1" s="1" t="s">
        <v>0</v>
      </c>
    </row>
    <row r="2" customFormat="false" ht="15" hidden="false" customHeight="false" outlineLevel="0" collapsed="false">
      <c r="A2" s="2" t="s">
        <v>1</v>
      </c>
    </row>
    <row r="4" customFormat="false" ht="15" hidden="false" customHeight="false" outlineLevel="0" collapsed="false">
      <c r="A4" s="3"/>
      <c r="B4" s="4"/>
      <c r="D4" s="5" t="s">
        <v>2</v>
      </c>
    </row>
    <row r="5" customFormat="false" ht="15" hidden="false" customHeight="false" outlineLevel="0" collapsed="false">
      <c r="A5" s="6" t="s">
        <v>3</v>
      </c>
      <c r="B5" s="4"/>
      <c r="C5" s="3" t="s">
        <v>4</v>
      </c>
      <c r="D5" s="6" t="n">
        <f aca="false">COUNTA('User Story'!A2:A200)</f>
        <v>37</v>
      </c>
    </row>
    <row r="6" customFormat="false" ht="23.85" hidden="false" customHeight="false" outlineLevel="0" collapsed="false">
      <c r="A6" s="3" t="s">
        <v>5</v>
      </c>
      <c r="B6" s="4" t="s">
        <v>6</v>
      </c>
      <c r="C6" s="3" t="s">
        <v>7</v>
      </c>
      <c r="D6" s="6" t="n">
        <f aca="false">COUNTIF('User Story'!D2:D200,"M*")</f>
        <v>19</v>
      </c>
    </row>
    <row r="7" customFormat="false" ht="15" hidden="false" customHeight="false" outlineLevel="0" collapsed="false">
      <c r="A7" s="3" t="s">
        <v>8</v>
      </c>
      <c r="B7" s="4" t="s">
        <v>9</v>
      </c>
      <c r="C7" s="3" t="s">
        <v>10</v>
      </c>
      <c r="D7" s="6" t="n">
        <f aca="false">COUNTIF('User Story'!D2:D200,"S*")</f>
        <v>13</v>
      </c>
    </row>
    <row r="8" customFormat="false" ht="15" hidden="false" customHeight="false" outlineLevel="0" collapsed="false">
      <c r="A8" s="3" t="s">
        <v>11</v>
      </c>
      <c r="B8" s="4" t="s">
        <v>12</v>
      </c>
      <c r="C8" s="3" t="s">
        <v>13</v>
      </c>
      <c r="D8" s="6" t="n">
        <f aca="false">COUNTIF('User Story'!D2:D200,"C*")</f>
        <v>5</v>
      </c>
    </row>
    <row r="9" customFormat="false" ht="15" hidden="false" customHeight="false" outlineLevel="0" collapsed="false">
      <c r="A9" s="3" t="s">
        <v>14</v>
      </c>
      <c r="B9" s="4" t="s">
        <v>15</v>
      </c>
      <c r="C9" s="3" t="s">
        <v>16</v>
      </c>
      <c r="D9" s="6" t="n">
        <f aca="false">SUM('User Story'!E2:E200)</f>
        <v>192</v>
      </c>
    </row>
    <row r="10" customFormat="false" ht="15" hidden="false" customHeight="false" outlineLevel="0" collapsed="false">
      <c r="A10" s="3" t="s">
        <v>17</v>
      </c>
      <c r="B10" s="4" t="s">
        <v>18</v>
      </c>
      <c r="C10" s="3" t="s">
        <v>19</v>
      </c>
      <c r="D10" s="6" t="n">
        <f aca="false">SUMIF('User Story'!D2:D200,"M*",'User Story'!E2:E200)</f>
        <v>125</v>
      </c>
    </row>
    <row r="11" customFormat="false" ht="15" hidden="false" customHeight="false" outlineLevel="0" collapsed="false">
      <c r="A11" s="3" t="s">
        <v>20</v>
      </c>
      <c r="B11" s="4" t="s">
        <v>21</v>
      </c>
      <c r="C11" s="3" t="s">
        <v>22</v>
      </c>
      <c r="D11" s="6" t="n">
        <f aca="false">COUNTA(FR!A2:A200)</f>
        <v>93</v>
      </c>
    </row>
    <row r="12" customFormat="false" ht="15" hidden="false" customHeight="false" outlineLevel="0" collapsed="false">
      <c r="A12" s="3" t="s">
        <v>23</v>
      </c>
      <c r="B12" s="4" t="s">
        <v>24</v>
      </c>
      <c r="C12" s="3" t="s">
        <v>7</v>
      </c>
      <c r="D12" s="6" t="n">
        <f aca="false">COUNTIF(FR!E2:E200,"M*")</f>
        <v>48</v>
      </c>
    </row>
    <row r="13" customFormat="false" ht="15" hidden="false" customHeight="false" outlineLevel="0" collapsed="false">
      <c r="A13" s="3" t="s">
        <v>25</v>
      </c>
      <c r="B13" s="4" t="s">
        <v>26</v>
      </c>
      <c r="C13" s="3" t="s">
        <v>10</v>
      </c>
      <c r="D13" s="6" t="n">
        <f aca="false">COUNTIF(FR!E2:E200,"S*")</f>
        <v>33</v>
      </c>
    </row>
    <row r="14" customFormat="false" ht="15" hidden="false" customHeight="false" outlineLevel="0" collapsed="false">
      <c r="A14" s="3"/>
      <c r="B14" s="4"/>
      <c r="C14" s="3" t="s">
        <v>13</v>
      </c>
      <c r="D14" s="6" t="n">
        <f aca="false">COUNTIF(FR!E2:E200,"C*")</f>
        <v>12</v>
      </c>
    </row>
    <row r="15" customFormat="false" ht="15" hidden="false" customHeight="false" outlineLevel="0" collapsed="false">
      <c r="A15" s="6" t="s">
        <v>27</v>
      </c>
      <c r="B15" s="4"/>
      <c r="C15" s="3" t="s">
        <v>28</v>
      </c>
      <c r="D15" s="6" t="n">
        <f aca="false">COUNTA(NFR!A2:A200)</f>
        <v>36</v>
      </c>
    </row>
    <row r="16" customFormat="false" ht="15" hidden="false" customHeight="false" outlineLevel="0" collapsed="false">
      <c r="A16" s="3" t="s">
        <v>29</v>
      </c>
      <c r="B16" s="4" t="s">
        <v>30</v>
      </c>
      <c r="C16" s="3" t="s">
        <v>31</v>
      </c>
      <c r="D16" s="6" t="n">
        <f aca="false">COUNTA('Business Rule'!A2:A200)</f>
        <v>23</v>
      </c>
    </row>
    <row r="17" customFormat="false" ht="23.85" hidden="false" customHeight="false" outlineLevel="0" collapsed="false">
      <c r="A17" s="3" t="s">
        <v>32</v>
      </c>
      <c r="B17" s="4" t="s">
        <v>33</v>
      </c>
      <c r="C17" s="3" t="s">
        <v>34</v>
      </c>
      <c r="D17" s="6" t="n">
        <f aca="false">COUNTIF('User Story'!G2:G200,"Hoàn thành")</f>
        <v>0</v>
      </c>
    </row>
    <row r="18" customFormat="false" ht="15" hidden="false" customHeight="false" outlineLevel="0" collapsed="false">
      <c r="A18" s="3" t="s">
        <v>35</v>
      </c>
      <c r="B18" s="4" t="s">
        <v>36</v>
      </c>
      <c r="C18" s="3" t="s">
        <v>37</v>
      </c>
      <c r="D18" s="7" t="n">
        <f aca="false">IFERROR(D17/D5,0)</f>
        <v>0</v>
      </c>
    </row>
    <row r="19" customFormat="false" ht="15" hidden="false" customHeight="false" outlineLevel="0" collapsed="false">
      <c r="A19" s="3" t="s">
        <v>38</v>
      </c>
      <c r="B19" s="4" t="s">
        <v>39</v>
      </c>
    </row>
    <row r="20" customFormat="false" ht="15" hidden="false" customHeight="false" outlineLevel="0" collapsed="false">
      <c r="A20" s="3" t="s">
        <v>40</v>
      </c>
      <c r="B20" s="4" t="s">
        <v>41</v>
      </c>
    </row>
    <row r="21" customFormat="false" ht="15" hidden="false" customHeight="false" outlineLevel="0" collapsed="false">
      <c r="A21" s="3"/>
      <c r="B21" s="4"/>
    </row>
    <row r="22" customFormat="false" ht="15" hidden="false" customHeight="false" outlineLevel="0" collapsed="false">
      <c r="A22" s="6" t="s">
        <v>42</v>
      </c>
      <c r="B22" s="4"/>
    </row>
    <row r="23" customFormat="false" ht="15" hidden="false" customHeight="false" outlineLevel="0" collapsed="false">
      <c r="A23" s="3" t="s">
        <v>43</v>
      </c>
      <c r="B23" s="4" t="s">
        <v>44</v>
      </c>
    </row>
    <row r="24" customFormat="false" ht="15" hidden="false" customHeight="false" outlineLevel="0" collapsed="false">
      <c r="A24" s="3" t="s">
        <v>45</v>
      </c>
      <c r="B24" s="4" t="s">
        <v>46</v>
      </c>
    </row>
    <row r="25" customFormat="false" ht="15" hidden="false" customHeight="false" outlineLevel="0" collapsed="false">
      <c r="A25" s="3" t="s">
        <v>47</v>
      </c>
      <c r="B25" s="4" t="s">
        <v>48</v>
      </c>
    </row>
    <row r="26" customFormat="false" ht="15" hidden="false" customHeight="false" outlineLevel="0" collapsed="false">
      <c r="A26" s="3" t="s">
        <v>49</v>
      </c>
      <c r="B26" s="4" t="s">
        <v>50</v>
      </c>
    </row>
    <row r="27" customFormat="false" ht="15" hidden="false" customHeight="false" outlineLevel="0" collapsed="false">
      <c r="A27" s="3"/>
      <c r="B27" s="4"/>
    </row>
    <row r="28" customFormat="false" ht="15" hidden="false" customHeight="false" outlineLevel="0" collapsed="false">
      <c r="A28" s="3" t="s">
        <v>51</v>
      </c>
      <c r="B28" s="4" t="s">
        <v>52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32"/>
    <col collapsed="false" customWidth="true" hidden="false" outlineLevel="0" max="3" min="3" style="0" width="26"/>
    <col collapsed="false" customWidth="true" hidden="false" outlineLevel="0" max="5" min="4" style="0" width="12"/>
    <col collapsed="false" customWidth="true" hidden="false" outlineLevel="0" max="6" min="6" style="0" width="44"/>
    <col collapsed="false" customWidth="true" hidden="false" outlineLevel="0" max="7" min="7" style="0" width="30"/>
    <col collapsed="false" customWidth="true" hidden="false" outlineLevel="0" max="8" min="8" style="0" width="20"/>
  </cols>
  <sheetData>
    <row r="1" customFormat="false" ht="15" hidden="false" customHeight="false" outlineLevel="0" collapsed="false">
      <c r="A1" s="8" t="s">
        <v>53</v>
      </c>
      <c r="B1" s="8" t="s">
        <v>54</v>
      </c>
      <c r="C1" s="8" t="s">
        <v>55</v>
      </c>
      <c r="D1" s="8" t="s">
        <v>56</v>
      </c>
      <c r="E1" s="8" t="s">
        <v>57</v>
      </c>
      <c r="F1" s="8" t="s">
        <v>58</v>
      </c>
      <c r="G1" s="8" t="s">
        <v>59</v>
      </c>
      <c r="H1" s="8" t="s">
        <v>60</v>
      </c>
    </row>
    <row r="2" customFormat="false" ht="15" hidden="false" customHeight="false" outlineLevel="0" collapsed="false">
      <c r="A2" s="9" t="s">
        <v>61</v>
      </c>
      <c r="B2" s="9" t="s">
        <v>62</v>
      </c>
      <c r="C2" s="9" t="s">
        <v>63</v>
      </c>
      <c r="D2" s="9" t="s">
        <v>64</v>
      </c>
      <c r="E2" s="9" t="s">
        <v>64</v>
      </c>
      <c r="F2" s="10" t="s">
        <v>65</v>
      </c>
      <c r="G2" s="10" t="s">
        <v>66</v>
      </c>
      <c r="H2" s="9" t="s">
        <v>67</v>
      </c>
    </row>
    <row r="3" customFormat="false" ht="15" hidden="false" customHeight="false" outlineLevel="0" collapsed="false">
      <c r="A3" s="9" t="s">
        <v>68</v>
      </c>
      <c r="B3" s="9" t="s">
        <v>69</v>
      </c>
      <c r="C3" s="9" t="s">
        <v>63</v>
      </c>
      <c r="D3" s="9" t="s">
        <v>64</v>
      </c>
      <c r="E3" s="9" t="s">
        <v>64</v>
      </c>
      <c r="F3" s="10" t="s">
        <v>70</v>
      </c>
      <c r="G3" s="10" t="s">
        <v>71</v>
      </c>
      <c r="H3" s="9" t="s">
        <v>67</v>
      </c>
    </row>
    <row r="4" customFormat="false" ht="15" hidden="false" customHeight="false" outlineLevel="0" collapsed="false">
      <c r="A4" s="9" t="s">
        <v>72</v>
      </c>
      <c r="B4" s="9" t="s">
        <v>73</v>
      </c>
      <c r="C4" s="9" t="s">
        <v>63</v>
      </c>
      <c r="D4" s="9" t="s">
        <v>74</v>
      </c>
      <c r="E4" s="9" t="s">
        <v>64</v>
      </c>
      <c r="F4" s="10" t="s">
        <v>75</v>
      </c>
      <c r="G4" s="10" t="s">
        <v>76</v>
      </c>
      <c r="H4" s="9" t="s">
        <v>67</v>
      </c>
    </row>
    <row r="5" customFormat="false" ht="15" hidden="false" customHeight="false" outlineLevel="0" collapsed="false">
      <c r="A5" s="9" t="s">
        <v>77</v>
      </c>
      <c r="B5" s="9" t="s">
        <v>78</v>
      </c>
      <c r="C5" s="9" t="s">
        <v>63</v>
      </c>
      <c r="D5" s="9" t="s">
        <v>74</v>
      </c>
      <c r="E5" s="9" t="s">
        <v>79</v>
      </c>
      <c r="F5" s="10" t="s">
        <v>80</v>
      </c>
      <c r="G5" s="10" t="s">
        <v>81</v>
      </c>
      <c r="H5" s="9" t="s">
        <v>82</v>
      </c>
    </row>
    <row r="6" customFormat="false" ht="15" hidden="false" customHeight="false" outlineLevel="0" collapsed="false">
      <c r="A6" s="9" t="s">
        <v>83</v>
      </c>
      <c r="B6" s="9" t="s">
        <v>84</v>
      </c>
      <c r="C6" s="9" t="s">
        <v>63</v>
      </c>
      <c r="D6" s="9" t="s">
        <v>74</v>
      </c>
      <c r="E6" s="9" t="s">
        <v>79</v>
      </c>
      <c r="F6" s="10" t="s">
        <v>85</v>
      </c>
      <c r="G6" s="10" t="s">
        <v>86</v>
      </c>
      <c r="H6" s="9" t="s">
        <v>67</v>
      </c>
    </row>
    <row r="7" customFormat="false" ht="15" hidden="false" customHeight="false" outlineLevel="0" collapsed="false">
      <c r="A7" s="9" t="s">
        <v>87</v>
      </c>
      <c r="B7" s="9" t="s">
        <v>88</v>
      </c>
      <c r="C7" s="9" t="s">
        <v>63</v>
      </c>
      <c r="D7" s="9" t="s">
        <v>64</v>
      </c>
      <c r="E7" s="9" t="s">
        <v>79</v>
      </c>
      <c r="F7" s="10" t="s">
        <v>89</v>
      </c>
      <c r="G7" s="10" t="s">
        <v>90</v>
      </c>
      <c r="H7" s="9" t="s">
        <v>67</v>
      </c>
    </row>
    <row r="8" customFormat="false" ht="15" hidden="false" customHeight="false" outlineLevel="0" collapsed="false">
      <c r="A8" s="9" t="s">
        <v>91</v>
      </c>
      <c r="B8" s="9" t="s">
        <v>92</v>
      </c>
      <c r="C8" s="9" t="s">
        <v>93</v>
      </c>
      <c r="D8" s="9" t="s">
        <v>74</v>
      </c>
      <c r="E8" s="9" t="s">
        <v>79</v>
      </c>
      <c r="F8" s="10" t="s">
        <v>94</v>
      </c>
      <c r="G8" s="10" t="s">
        <v>81</v>
      </c>
      <c r="H8" s="9" t="s">
        <v>95</v>
      </c>
    </row>
    <row r="9" customFormat="false" ht="15" hidden="false" customHeight="false" outlineLevel="0" collapsed="false">
      <c r="A9" s="9" t="s">
        <v>96</v>
      </c>
      <c r="B9" s="9" t="s">
        <v>97</v>
      </c>
      <c r="C9" s="9" t="s">
        <v>93</v>
      </c>
      <c r="D9" s="9" t="s">
        <v>79</v>
      </c>
      <c r="E9" s="9" t="s">
        <v>74</v>
      </c>
      <c r="F9" s="10" t="s">
        <v>98</v>
      </c>
      <c r="G9" s="10" t="s">
        <v>99</v>
      </c>
      <c r="H9" s="9" t="s">
        <v>100</v>
      </c>
    </row>
    <row r="10" customFormat="false" ht="15" hidden="false" customHeight="false" outlineLevel="0" collapsed="false">
      <c r="A10" s="9" t="s">
        <v>101</v>
      </c>
      <c r="B10" s="9" t="s">
        <v>102</v>
      </c>
      <c r="C10" s="9" t="s">
        <v>93</v>
      </c>
      <c r="D10" s="9" t="s">
        <v>79</v>
      </c>
      <c r="E10" s="9" t="s">
        <v>74</v>
      </c>
      <c r="F10" s="10" t="s">
        <v>103</v>
      </c>
      <c r="G10" s="10" t="s">
        <v>104</v>
      </c>
      <c r="H10" s="9" t="s">
        <v>100</v>
      </c>
    </row>
    <row r="11" customFormat="false" ht="15" hidden="false" customHeight="false" outlineLevel="0" collapsed="false">
      <c r="A11" s="9" t="s">
        <v>105</v>
      </c>
      <c r="B11" s="9" t="s">
        <v>106</v>
      </c>
      <c r="C11" s="9" t="s">
        <v>93</v>
      </c>
      <c r="D11" s="9" t="s">
        <v>74</v>
      </c>
      <c r="E11" s="9" t="s">
        <v>74</v>
      </c>
      <c r="F11" s="10" t="s">
        <v>107</v>
      </c>
      <c r="G11" s="10" t="s">
        <v>99</v>
      </c>
      <c r="H11" s="9" t="s">
        <v>100</v>
      </c>
    </row>
    <row r="12" customFormat="false" ht="15" hidden="false" customHeight="false" outlineLevel="0" collapsed="false">
      <c r="A12" s="9" t="s">
        <v>108</v>
      </c>
      <c r="B12" s="9" t="s">
        <v>109</v>
      </c>
      <c r="C12" s="9" t="s">
        <v>93</v>
      </c>
      <c r="D12" s="9" t="s">
        <v>74</v>
      </c>
      <c r="E12" s="9" t="s">
        <v>74</v>
      </c>
      <c r="F12" s="10" t="s">
        <v>110</v>
      </c>
      <c r="G12" s="10" t="s">
        <v>111</v>
      </c>
      <c r="H12" s="9" t="s">
        <v>100</v>
      </c>
    </row>
    <row r="13" customFormat="false" ht="15" hidden="false" customHeight="false" outlineLevel="0" collapsed="false">
      <c r="A13" s="9" t="s">
        <v>112</v>
      </c>
      <c r="B13" s="9" t="s">
        <v>113</v>
      </c>
      <c r="C13" s="9" t="s">
        <v>114</v>
      </c>
      <c r="D13" s="9" t="s">
        <v>64</v>
      </c>
      <c r="E13" s="9" t="s">
        <v>74</v>
      </c>
      <c r="F13" s="10" t="s">
        <v>115</v>
      </c>
      <c r="G13" s="10" t="s">
        <v>116</v>
      </c>
      <c r="H13" s="9" t="s">
        <v>100</v>
      </c>
    </row>
    <row r="14" customFormat="false" ht="15" hidden="false" customHeight="false" outlineLevel="0" collapsed="false">
      <c r="A14" s="9" t="s">
        <v>117</v>
      </c>
      <c r="B14" s="9" t="s">
        <v>118</v>
      </c>
      <c r="C14" s="9" t="s">
        <v>114</v>
      </c>
      <c r="D14" s="9" t="s">
        <v>64</v>
      </c>
      <c r="E14" s="9" t="s">
        <v>74</v>
      </c>
      <c r="F14" s="10" t="s">
        <v>119</v>
      </c>
      <c r="G14" s="10" t="s">
        <v>116</v>
      </c>
      <c r="H14" s="9" t="s">
        <v>100</v>
      </c>
    </row>
    <row r="15" customFormat="false" ht="15" hidden="false" customHeight="false" outlineLevel="0" collapsed="false">
      <c r="A15" s="9" t="s">
        <v>120</v>
      </c>
      <c r="B15" s="9" t="s">
        <v>121</v>
      </c>
      <c r="C15" s="9" t="s">
        <v>114</v>
      </c>
      <c r="D15" s="9" t="s">
        <v>64</v>
      </c>
      <c r="E15" s="9" t="s">
        <v>74</v>
      </c>
      <c r="F15" s="10" t="s">
        <v>122</v>
      </c>
      <c r="G15" s="10" t="s">
        <v>116</v>
      </c>
      <c r="H15" s="9" t="s">
        <v>100</v>
      </c>
    </row>
    <row r="16" customFormat="false" ht="15" hidden="false" customHeight="false" outlineLevel="0" collapsed="false">
      <c r="A16" s="9" t="s">
        <v>123</v>
      </c>
      <c r="B16" s="9" t="s">
        <v>124</v>
      </c>
      <c r="C16" s="9" t="s">
        <v>114</v>
      </c>
      <c r="D16" s="9" t="s">
        <v>64</v>
      </c>
      <c r="E16" s="9" t="s">
        <v>64</v>
      </c>
      <c r="F16" s="10" t="s">
        <v>125</v>
      </c>
      <c r="G16" s="10" t="s">
        <v>126</v>
      </c>
      <c r="H16" s="9" t="s">
        <v>100</v>
      </c>
    </row>
  </sheetData>
  <autoFilter ref="A1:H16"/>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3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3" min="2" style="0" width="34"/>
    <col collapsed="false" customWidth="true" hidden="false" outlineLevel="0" max="4" min="4" style="0" width="16"/>
    <col collapsed="false" customWidth="true" hidden="false" outlineLevel="0" max="5" min="5" style="0" width="6"/>
    <col collapsed="false" customWidth="true" hidden="false" outlineLevel="0" max="6" min="6" style="0" width="62"/>
    <col collapsed="false" customWidth="true" hidden="false" outlineLevel="0" max="7" min="7" style="0" width="15"/>
    <col collapsed="false" customWidth="true" hidden="false" outlineLevel="0" max="8" min="8" style="0" width="8"/>
    <col collapsed="false" customWidth="true" hidden="false" outlineLevel="0" max="9" min="9" style="0" width="95"/>
  </cols>
  <sheetData>
    <row r="1" customFormat="false" ht="15" hidden="false" customHeight="false" outlineLevel="0" collapsed="false">
      <c r="A1" s="8" t="s">
        <v>127</v>
      </c>
      <c r="B1" s="8" t="s">
        <v>128</v>
      </c>
      <c r="C1" s="8" t="s">
        <v>129</v>
      </c>
      <c r="D1" s="8" t="s">
        <v>130</v>
      </c>
      <c r="E1" s="8" t="s">
        <v>131</v>
      </c>
      <c r="F1" s="8" t="s">
        <v>132</v>
      </c>
      <c r="G1" s="8" t="s">
        <v>133</v>
      </c>
      <c r="H1" s="8" t="s">
        <v>134</v>
      </c>
      <c r="I1" s="8" t="s">
        <v>135</v>
      </c>
    </row>
    <row r="2" customFormat="false" ht="102.2" hidden="false" customHeight="false" outlineLevel="0" collapsed="false">
      <c r="A2" s="9" t="s">
        <v>136</v>
      </c>
      <c r="B2" s="9" t="s">
        <v>137</v>
      </c>
      <c r="C2" s="10" t="s">
        <v>138</v>
      </c>
      <c r="D2" s="11" t="s">
        <v>43</v>
      </c>
      <c r="E2" s="9" t="n">
        <v>3</v>
      </c>
      <c r="F2" s="10" t="s">
        <v>139</v>
      </c>
      <c r="G2" s="12" t="s">
        <v>140</v>
      </c>
      <c r="H2" s="9" t="n">
        <v>6</v>
      </c>
      <c r="I2" s="10" t="s">
        <v>141</v>
      </c>
    </row>
    <row r="3" customFormat="false" ht="79.85" hidden="false" customHeight="false" outlineLevel="0" collapsed="false">
      <c r="A3" s="9" t="s">
        <v>142</v>
      </c>
      <c r="B3" s="9" t="s">
        <v>137</v>
      </c>
      <c r="C3" s="10" t="s">
        <v>143</v>
      </c>
      <c r="D3" s="11" t="s">
        <v>43</v>
      </c>
      <c r="E3" s="9" t="n">
        <v>8</v>
      </c>
      <c r="F3" s="10" t="s">
        <v>144</v>
      </c>
      <c r="G3" s="12" t="s">
        <v>140</v>
      </c>
      <c r="H3" s="9" t="n">
        <v>5</v>
      </c>
      <c r="I3" s="10" t="s">
        <v>145</v>
      </c>
    </row>
    <row r="4" customFormat="false" ht="68.65" hidden="false" customHeight="false" outlineLevel="0" collapsed="false">
      <c r="A4" s="9" t="s">
        <v>146</v>
      </c>
      <c r="B4" s="9" t="s">
        <v>137</v>
      </c>
      <c r="C4" s="10" t="s">
        <v>147</v>
      </c>
      <c r="D4" s="12" t="s">
        <v>45</v>
      </c>
      <c r="E4" s="9" t="n">
        <v>3</v>
      </c>
      <c r="F4" s="10" t="s">
        <v>148</v>
      </c>
      <c r="G4" s="12" t="s">
        <v>140</v>
      </c>
      <c r="H4" s="9" t="n">
        <v>4</v>
      </c>
      <c r="I4" s="10" t="s">
        <v>149</v>
      </c>
    </row>
    <row r="5" customFormat="false" ht="57.45" hidden="false" customHeight="false" outlineLevel="0" collapsed="false">
      <c r="A5" s="9" t="s">
        <v>150</v>
      </c>
      <c r="B5" s="9" t="s">
        <v>151</v>
      </c>
      <c r="C5" s="10" t="s">
        <v>69</v>
      </c>
      <c r="D5" s="11" t="s">
        <v>43</v>
      </c>
      <c r="E5" s="9" t="n">
        <v>5</v>
      </c>
      <c r="F5" s="10" t="s">
        <v>152</v>
      </c>
      <c r="G5" s="12" t="s">
        <v>140</v>
      </c>
      <c r="H5" s="9" t="n">
        <v>4</v>
      </c>
      <c r="I5" s="10" t="s">
        <v>153</v>
      </c>
    </row>
    <row r="6" customFormat="false" ht="79.85" hidden="false" customHeight="false" outlineLevel="0" collapsed="false">
      <c r="A6" s="9" t="s">
        <v>154</v>
      </c>
      <c r="B6" s="9" t="s">
        <v>151</v>
      </c>
      <c r="C6" s="10" t="s">
        <v>155</v>
      </c>
      <c r="D6" s="11" t="s">
        <v>43</v>
      </c>
      <c r="E6" s="9" t="n">
        <v>8</v>
      </c>
      <c r="F6" s="10" t="s">
        <v>156</v>
      </c>
      <c r="G6" s="12" t="s">
        <v>140</v>
      </c>
      <c r="H6" s="9" t="n">
        <v>5</v>
      </c>
      <c r="I6" s="10" t="s">
        <v>157</v>
      </c>
    </row>
    <row r="7" customFormat="false" ht="91" hidden="false" customHeight="false" outlineLevel="0" collapsed="false">
      <c r="A7" s="9" t="s">
        <v>158</v>
      </c>
      <c r="B7" s="9" t="s">
        <v>151</v>
      </c>
      <c r="C7" s="10" t="s">
        <v>159</v>
      </c>
      <c r="D7" s="11" t="s">
        <v>43</v>
      </c>
      <c r="E7" s="9" t="n">
        <v>8</v>
      </c>
      <c r="F7" s="10" t="s">
        <v>160</v>
      </c>
      <c r="G7" s="12" t="s">
        <v>140</v>
      </c>
      <c r="H7" s="9" t="n">
        <v>5</v>
      </c>
      <c r="I7" s="10" t="s">
        <v>161</v>
      </c>
    </row>
    <row r="8" customFormat="false" ht="46.25" hidden="false" customHeight="false" outlineLevel="0" collapsed="false">
      <c r="A8" s="9" t="s">
        <v>162</v>
      </c>
      <c r="B8" s="9" t="s">
        <v>151</v>
      </c>
      <c r="C8" s="10" t="s">
        <v>163</v>
      </c>
      <c r="D8" s="13" t="s">
        <v>47</v>
      </c>
      <c r="E8" s="9" t="n">
        <v>3</v>
      </c>
      <c r="F8" s="10" t="s">
        <v>164</v>
      </c>
      <c r="G8" s="12" t="s">
        <v>140</v>
      </c>
      <c r="H8" s="9" t="n">
        <v>3</v>
      </c>
      <c r="I8" s="10" t="s">
        <v>165</v>
      </c>
    </row>
    <row r="9" customFormat="false" ht="68.65" hidden="false" customHeight="false" outlineLevel="0" collapsed="false">
      <c r="A9" s="9" t="s">
        <v>166</v>
      </c>
      <c r="B9" s="9" t="s">
        <v>167</v>
      </c>
      <c r="C9" s="10" t="s">
        <v>168</v>
      </c>
      <c r="D9" s="11" t="s">
        <v>43</v>
      </c>
      <c r="E9" s="9" t="n">
        <v>5</v>
      </c>
      <c r="F9" s="10" t="s">
        <v>169</v>
      </c>
      <c r="G9" s="12" t="s">
        <v>140</v>
      </c>
      <c r="H9" s="9" t="n">
        <v>5</v>
      </c>
      <c r="I9" s="10" t="s">
        <v>170</v>
      </c>
    </row>
    <row r="10" customFormat="false" ht="113.4" hidden="false" customHeight="false" outlineLevel="0" collapsed="false">
      <c r="A10" s="9" t="s">
        <v>171</v>
      </c>
      <c r="B10" s="9" t="s">
        <v>167</v>
      </c>
      <c r="C10" s="10" t="s">
        <v>172</v>
      </c>
      <c r="D10" s="11" t="s">
        <v>43</v>
      </c>
      <c r="E10" s="9" t="n">
        <v>8</v>
      </c>
      <c r="F10" s="10" t="s">
        <v>173</v>
      </c>
      <c r="G10" s="12" t="s">
        <v>140</v>
      </c>
      <c r="H10" s="9" t="n">
        <v>6</v>
      </c>
      <c r="I10" s="10" t="s">
        <v>174</v>
      </c>
    </row>
    <row r="11" customFormat="false" ht="57.45" hidden="false" customHeight="false" outlineLevel="0" collapsed="false">
      <c r="A11" s="9" t="s">
        <v>175</v>
      </c>
      <c r="B11" s="9" t="s">
        <v>167</v>
      </c>
      <c r="C11" s="10" t="s">
        <v>176</v>
      </c>
      <c r="D11" s="12" t="s">
        <v>45</v>
      </c>
      <c r="E11" s="9" t="n">
        <v>3</v>
      </c>
      <c r="F11" s="10" t="s">
        <v>177</v>
      </c>
      <c r="G11" s="12" t="s">
        <v>140</v>
      </c>
      <c r="H11" s="9" t="n">
        <v>3</v>
      </c>
      <c r="I11" s="10" t="s">
        <v>178</v>
      </c>
    </row>
    <row r="12" customFormat="false" ht="102.2" hidden="false" customHeight="false" outlineLevel="0" collapsed="false">
      <c r="A12" s="9" t="s">
        <v>179</v>
      </c>
      <c r="B12" s="9" t="s">
        <v>167</v>
      </c>
      <c r="C12" s="10" t="s">
        <v>180</v>
      </c>
      <c r="D12" s="11" t="s">
        <v>43</v>
      </c>
      <c r="E12" s="9" t="n">
        <v>8</v>
      </c>
      <c r="F12" s="10" t="s">
        <v>181</v>
      </c>
      <c r="G12" s="12" t="s">
        <v>140</v>
      </c>
      <c r="H12" s="9" t="n">
        <v>5</v>
      </c>
      <c r="I12" s="10" t="s">
        <v>182</v>
      </c>
    </row>
    <row r="13" customFormat="false" ht="35.05" hidden="false" customHeight="false" outlineLevel="0" collapsed="false">
      <c r="A13" s="9" t="s">
        <v>183</v>
      </c>
      <c r="B13" s="9" t="s">
        <v>167</v>
      </c>
      <c r="C13" s="10" t="s">
        <v>184</v>
      </c>
      <c r="D13" s="13" t="s">
        <v>47</v>
      </c>
      <c r="E13" s="9" t="n">
        <v>2</v>
      </c>
      <c r="F13" s="10" t="s">
        <v>185</v>
      </c>
      <c r="G13" s="12" t="s">
        <v>140</v>
      </c>
      <c r="H13" s="9" t="n">
        <v>3</v>
      </c>
      <c r="I13" s="10" t="s">
        <v>186</v>
      </c>
    </row>
    <row r="14" customFormat="false" ht="113.4" hidden="false" customHeight="false" outlineLevel="0" collapsed="false">
      <c r="A14" s="9" t="s">
        <v>187</v>
      </c>
      <c r="B14" s="9" t="s">
        <v>188</v>
      </c>
      <c r="C14" s="10" t="s">
        <v>189</v>
      </c>
      <c r="D14" s="11" t="s">
        <v>43</v>
      </c>
      <c r="E14" s="9" t="n">
        <v>8</v>
      </c>
      <c r="F14" s="10" t="s">
        <v>190</v>
      </c>
      <c r="G14" s="12" t="s">
        <v>140</v>
      </c>
      <c r="H14" s="9" t="n">
        <v>6</v>
      </c>
      <c r="I14" s="10" t="s">
        <v>191</v>
      </c>
    </row>
    <row r="15" customFormat="false" ht="57.45" hidden="false" customHeight="false" outlineLevel="0" collapsed="false">
      <c r="A15" s="9" t="s">
        <v>192</v>
      </c>
      <c r="B15" s="9" t="s">
        <v>188</v>
      </c>
      <c r="C15" s="10" t="s">
        <v>193</v>
      </c>
      <c r="D15" s="11" t="s">
        <v>43</v>
      </c>
      <c r="E15" s="9" t="n">
        <v>5</v>
      </c>
      <c r="F15" s="10" t="s">
        <v>194</v>
      </c>
      <c r="G15" s="12" t="s">
        <v>140</v>
      </c>
      <c r="H15" s="9" t="n">
        <v>5</v>
      </c>
      <c r="I15" s="10" t="s">
        <v>195</v>
      </c>
    </row>
    <row r="16" customFormat="false" ht="57.45" hidden="false" customHeight="false" outlineLevel="0" collapsed="false">
      <c r="A16" s="9" t="s">
        <v>196</v>
      </c>
      <c r="B16" s="9" t="s">
        <v>188</v>
      </c>
      <c r="C16" s="10" t="s">
        <v>197</v>
      </c>
      <c r="D16" s="12" t="s">
        <v>45</v>
      </c>
      <c r="E16" s="9" t="n">
        <v>3</v>
      </c>
      <c r="F16" s="10" t="s">
        <v>198</v>
      </c>
      <c r="G16" s="12" t="s">
        <v>140</v>
      </c>
      <c r="H16" s="9" t="n">
        <v>3</v>
      </c>
      <c r="I16" s="10" t="s">
        <v>199</v>
      </c>
    </row>
    <row r="17" customFormat="false" ht="124.6" hidden="false" customHeight="false" outlineLevel="0" collapsed="false">
      <c r="A17" s="9" t="s">
        <v>200</v>
      </c>
      <c r="B17" s="9" t="s">
        <v>201</v>
      </c>
      <c r="C17" s="10" t="s">
        <v>202</v>
      </c>
      <c r="D17" s="11" t="s">
        <v>43</v>
      </c>
      <c r="E17" s="9" t="n">
        <v>13</v>
      </c>
      <c r="F17" s="10" t="s">
        <v>203</v>
      </c>
      <c r="G17" s="12" t="s">
        <v>140</v>
      </c>
      <c r="H17" s="9" t="n">
        <v>7</v>
      </c>
      <c r="I17" s="10" t="s">
        <v>204</v>
      </c>
    </row>
    <row r="18" customFormat="false" ht="79.85" hidden="false" customHeight="false" outlineLevel="0" collapsed="false">
      <c r="A18" s="9" t="s">
        <v>205</v>
      </c>
      <c r="B18" s="9" t="s">
        <v>201</v>
      </c>
      <c r="C18" s="10" t="s">
        <v>206</v>
      </c>
      <c r="D18" s="11" t="s">
        <v>43</v>
      </c>
      <c r="E18" s="9" t="n">
        <v>5</v>
      </c>
      <c r="F18" s="10" t="s">
        <v>207</v>
      </c>
      <c r="G18" s="12" t="s">
        <v>140</v>
      </c>
      <c r="H18" s="9" t="n">
        <v>4</v>
      </c>
      <c r="I18" s="10" t="s">
        <v>208</v>
      </c>
    </row>
    <row r="19" customFormat="false" ht="91" hidden="false" customHeight="false" outlineLevel="0" collapsed="false">
      <c r="A19" s="9" t="s">
        <v>209</v>
      </c>
      <c r="B19" s="9" t="s">
        <v>201</v>
      </c>
      <c r="C19" s="10" t="s">
        <v>210</v>
      </c>
      <c r="D19" s="11" t="s">
        <v>43</v>
      </c>
      <c r="E19" s="9" t="n">
        <v>5</v>
      </c>
      <c r="F19" s="10" t="s">
        <v>211</v>
      </c>
      <c r="G19" s="12" t="s">
        <v>140</v>
      </c>
      <c r="H19" s="9" t="n">
        <v>5</v>
      </c>
      <c r="I19" s="10" t="s">
        <v>212</v>
      </c>
    </row>
    <row r="20" customFormat="false" ht="79.85" hidden="false" customHeight="false" outlineLevel="0" collapsed="false">
      <c r="A20" s="9" t="s">
        <v>213</v>
      </c>
      <c r="B20" s="9" t="s">
        <v>201</v>
      </c>
      <c r="C20" s="10" t="s">
        <v>214</v>
      </c>
      <c r="D20" s="12" t="s">
        <v>45</v>
      </c>
      <c r="E20" s="9" t="n">
        <v>5</v>
      </c>
      <c r="F20" s="10" t="s">
        <v>215</v>
      </c>
      <c r="G20" s="12" t="s">
        <v>140</v>
      </c>
      <c r="H20" s="9" t="n">
        <v>4</v>
      </c>
      <c r="I20" s="10" t="s">
        <v>216</v>
      </c>
    </row>
    <row r="21" customFormat="false" ht="113.4" hidden="false" customHeight="false" outlineLevel="0" collapsed="false">
      <c r="A21" s="9" t="s">
        <v>217</v>
      </c>
      <c r="B21" s="9" t="s">
        <v>201</v>
      </c>
      <c r="C21" s="10" t="s">
        <v>218</v>
      </c>
      <c r="D21" s="11" t="s">
        <v>43</v>
      </c>
      <c r="E21" s="9" t="n">
        <v>8</v>
      </c>
      <c r="F21" s="10" t="s">
        <v>219</v>
      </c>
      <c r="G21" s="12" t="s">
        <v>140</v>
      </c>
      <c r="H21" s="9" t="n">
        <v>7</v>
      </c>
      <c r="I21" s="10" t="s">
        <v>220</v>
      </c>
    </row>
    <row r="22" customFormat="false" ht="68.65" hidden="false" customHeight="false" outlineLevel="0" collapsed="false">
      <c r="A22" s="9" t="s">
        <v>221</v>
      </c>
      <c r="B22" s="9" t="s">
        <v>201</v>
      </c>
      <c r="C22" s="10" t="s">
        <v>222</v>
      </c>
      <c r="D22" s="13" t="s">
        <v>47</v>
      </c>
      <c r="E22" s="9" t="n">
        <v>8</v>
      </c>
      <c r="F22" s="10" t="s">
        <v>223</v>
      </c>
      <c r="G22" s="12" t="s">
        <v>140</v>
      </c>
      <c r="H22" s="9" t="n">
        <v>4</v>
      </c>
      <c r="I22" s="10" t="s">
        <v>224</v>
      </c>
    </row>
    <row r="23" customFormat="false" ht="91" hidden="false" customHeight="false" outlineLevel="0" collapsed="false">
      <c r="A23" s="9" t="s">
        <v>225</v>
      </c>
      <c r="B23" s="9" t="s">
        <v>226</v>
      </c>
      <c r="C23" s="10" t="s">
        <v>227</v>
      </c>
      <c r="D23" s="11" t="s">
        <v>43</v>
      </c>
      <c r="E23" s="9" t="n">
        <v>5</v>
      </c>
      <c r="F23" s="10" t="s">
        <v>228</v>
      </c>
      <c r="G23" s="12" t="s">
        <v>140</v>
      </c>
      <c r="H23" s="9" t="n">
        <v>5</v>
      </c>
      <c r="I23" s="10" t="s">
        <v>229</v>
      </c>
    </row>
    <row r="24" customFormat="false" ht="113.4" hidden="false" customHeight="false" outlineLevel="0" collapsed="false">
      <c r="A24" s="9" t="s">
        <v>230</v>
      </c>
      <c r="B24" s="9" t="s">
        <v>226</v>
      </c>
      <c r="C24" s="10" t="s">
        <v>231</v>
      </c>
      <c r="D24" s="11" t="s">
        <v>43</v>
      </c>
      <c r="E24" s="9" t="n">
        <v>5</v>
      </c>
      <c r="F24" s="10" t="s">
        <v>232</v>
      </c>
      <c r="G24" s="12" t="s">
        <v>140</v>
      </c>
      <c r="H24" s="9" t="n">
        <v>6</v>
      </c>
      <c r="I24" s="10" t="s">
        <v>233</v>
      </c>
    </row>
    <row r="25" customFormat="false" ht="35.05" hidden="false" customHeight="false" outlineLevel="0" collapsed="false">
      <c r="A25" s="9" t="s">
        <v>234</v>
      </c>
      <c r="B25" s="9" t="s">
        <v>226</v>
      </c>
      <c r="C25" s="10" t="s">
        <v>235</v>
      </c>
      <c r="D25" s="12" t="s">
        <v>45</v>
      </c>
      <c r="E25" s="9" t="n">
        <v>3</v>
      </c>
      <c r="F25" s="10" t="s">
        <v>236</v>
      </c>
      <c r="G25" s="12" t="s">
        <v>140</v>
      </c>
      <c r="H25" s="9" t="n">
        <v>3</v>
      </c>
      <c r="I25" s="10" t="s">
        <v>237</v>
      </c>
    </row>
    <row r="26" customFormat="false" ht="57.45" hidden="false" customHeight="false" outlineLevel="0" collapsed="false">
      <c r="A26" s="9" t="s">
        <v>238</v>
      </c>
      <c r="B26" s="9" t="s">
        <v>239</v>
      </c>
      <c r="C26" s="10" t="s">
        <v>240</v>
      </c>
      <c r="D26" s="12" t="s">
        <v>45</v>
      </c>
      <c r="E26" s="9" t="n">
        <v>5</v>
      </c>
      <c r="F26" s="10" t="s">
        <v>241</v>
      </c>
      <c r="G26" s="12" t="s">
        <v>140</v>
      </c>
      <c r="H26" s="9" t="n">
        <v>3</v>
      </c>
      <c r="I26" s="10" t="s">
        <v>242</v>
      </c>
    </row>
    <row r="27" customFormat="false" ht="57.45" hidden="false" customHeight="false" outlineLevel="0" collapsed="false">
      <c r="A27" s="9" t="s">
        <v>243</v>
      </c>
      <c r="B27" s="9" t="s">
        <v>239</v>
      </c>
      <c r="C27" s="10" t="s">
        <v>244</v>
      </c>
      <c r="D27" s="12" t="s">
        <v>45</v>
      </c>
      <c r="E27" s="9" t="n">
        <v>3</v>
      </c>
      <c r="F27" s="10" t="s">
        <v>245</v>
      </c>
      <c r="G27" s="12" t="s">
        <v>140</v>
      </c>
      <c r="H27" s="9" t="n">
        <v>4</v>
      </c>
      <c r="I27" s="10" t="s">
        <v>246</v>
      </c>
    </row>
    <row r="28" customFormat="false" ht="46.25" hidden="false" customHeight="false" outlineLevel="0" collapsed="false">
      <c r="A28" s="9" t="s">
        <v>247</v>
      </c>
      <c r="B28" s="9" t="s">
        <v>239</v>
      </c>
      <c r="C28" s="10" t="s">
        <v>248</v>
      </c>
      <c r="D28" s="12" t="s">
        <v>45</v>
      </c>
      <c r="E28" s="9" t="n">
        <v>3</v>
      </c>
      <c r="F28" s="10" t="s">
        <v>249</v>
      </c>
      <c r="G28" s="12" t="s">
        <v>140</v>
      </c>
      <c r="H28" s="9" t="n">
        <v>4</v>
      </c>
      <c r="I28" s="10" t="s">
        <v>250</v>
      </c>
    </row>
    <row r="29" customFormat="false" ht="79.85" hidden="false" customHeight="false" outlineLevel="0" collapsed="false">
      <c r="A29" s="9" t="s">
        <v>251</v>
      </c>
      <c r="B29" s="9" t="s">
        <v>252</v>
      </c>
      <c r="C29" s="10" t="s">
        <v>253</v>
      </c>
      <c r="D29" s="11" t="s">
        <v>43</v>
      </c>
      <c r="E29" s="9" t="n">
        <v>5</v>
      </c>
      <c r="F29" s="10" t="s">
        <v>254</v>
      </c>
      <c r="G29" s="12" t="s">
        <v>140</v>
      </c>
      <c r="H29" s="9" t="n">
        <v>5</v>
      </c>
      <c r="I29" s="10" t="s">
        <v>255</v>
      </c>
    </row>
    <row r="30" customFormat="false" ht="35.05" hidden="false" customHeight="false" outlineLevel="0" collapsed="false">
      <c r="A30" s="9" t="s">
        <v>256</v>
      </c>
      <c r="B30" s="9" t="s">
        <v>252</v>
      </c>
      <c r="C30" s="10" t="s">
        <v>257</v>
      </c>
      <c r="D30" s="12" t="s">
        <v>45</v>
      </c>
      <c r="E30" s="9" t="n">
        <v>3</v>
      </c>
      <c r="F30" s="10" t="s">
        <v>258</v>
      </c>
      <c r="G30" s="12" t="s">
        <v>140</v>
      </c>
      <c r="H30" s="9" t="n">
        <v>3</v>
      </c>
      <c r="I30" s="10" t="s">
        <v>259</v>
      </c>
    </row>
    <row r="31" customFormat="false" ht="46.25" hidden="false" customHeight="false" outlineLevel="0" collapsed="false">
      <c r="A31" s="9" t="s">
        <v>260</v>
      </c>
      <c r="B31" s="9" t="s">
        <v>252</v>
      </c>
      <c r="C31" s="10" t="s">
        <v>261</v>
      </c>
      <c r="D31" s="12" t="s">
        <v>45</v>
      </c>
      <c r="E31" s="9" t="n">
        <v>2</v>
      </c>
      <c r="F31" s="10" t="s">
        <v>262</v>
      </c>
      <c r="G31" s="12" t="s">
        <v>140</v>
      </c>
      <c r="H31" s="9" t="n">
        <v>3</v>
      </c>
      <c r="I31" s="10" t="s">
        <v>263</v>
      </c>
    </row>
    <row r="32" customFormat="false" ht="57.45" hidden="false" customHeight="false" outlineLevel="0" collapsed="false">
      <c r="A32" s="9" t="s">
        <v>264</v>
      </c>
      <c r="B32" s="9" t="s">
        <v>252</v>
      </c>
      <c r="C32" s="10" t="s">
        <v>265</v>
      </c>
      <c r="D32" s="13" t="s">
        <v>47</v>
      </c>
      <c r="E32" s="9" t="n">
        <v>3</v>
      </c>
      <c r="F32" s="10" t="s">
        <v>266</v>
      </c>
      <c r="G32" s="12" t="s">
        <v>140</v>
      </c>
      <c r="H32" s="9" t="n">
        <v>3</v>
      </c>
      <c r="I32" s="10" t="s">
        <v>267</v>
      </c>
    </row>
    <row r="33" customFormat="false" ht="68.65" hidden="false" customHeight="false" outlineLevel="0" collapsed="false">
      <c r="A33" s="9" t="s">
        <v>268</v>
      </c>
      <c r="B33" s="9" t="s">
        <v>269</v>
      </c>
      <c r="C33" s="10" t="s">
        <v>270</v>
      </c>
      <c r="D33" s="11" t="s">
        <v>43</v>
      </c>
      <c r="E33" s="9" t="n">
        <v>8</v>
      </c>
      <c r="F33" s="10" t="s">
        <v>271</v>
      </c>
      <c r="G33" s="12" t="s">
        <v>140</v>
      </c>
      <c r="H33" s="9" t="n">
        <v>5</v>
      </c>
      <c r="I33" s="10" t="s">
        <v>272</v>
      </c>
    </row>
    <row r="34" customFormat="false" ht="46.25" hidden="false" customHeight="false" outlineLevel="0" collapsed="false">
      <c r="A34" s="9" t="s">
        <v>273</v>
      </c>
      <c r="B34" s="9" t="s">
        <v>269</v>
      </c>
      <c r="C34" s="10" t="s">
        <v>274</v>
      </c>
      <c r="D34" s="11" t="s">
        <v>43</v>
      </c>
      <c r="E34" s="9" t="n">
        <v>5</v>
      </c>
      <c r="F34" s="10" t="s">
        <v>275</v>
      </c>
      <c r="G34" s="12" t="s">
        <v>140</v>
      </c>
      <c r="H34" s="9" t="n">
        <v>3</v>
      </c>
      <c r="I34" s="10" t="s">
        <v>276</v>
      </c>
    </row>
    <row r="35" customFormat="false" ht="57.45" hidden="false" customHeight="false" outlineLevel="0" collapsed="false">
      <c r="A35" s="9" t="s">
        <v>277</v>
      </c>
      <c r="B35" s="9" t="s">
        <v>269</v>
      </c>
      <c r="C35" s="10" t="s">
        <v>278</v>
      </c>
      <c r="D35" s="13" t="s">
        <v>47</v>
      </c>
      <c r="E35" s="9" t="n">
        <v>5</v>
      </c>
      <c r="F35" s="10" t="s">
        <v>279</v>
      </c>
      <c r="G35" s="12" t="s">
        <v>140</v>
      </c>
      <c r="H35" s="9" t="n">
        <v>3</v>
      </c>
      <c r="I35" s="10" t="s">
        <v>280</v>
      </c>
    </row>
    <row r="36" customFormat="false" ht="79.85" hidden="false" customHeight="false" outlineLevel="0" collapsed="false">
      <c r="A36" s="9" t="s">
        <v>281</v>
      </c>
      <c r="B36" s="9" t="s">
        <v>282</v>
      </c>
      <c r="C36" s="10" t="s">
        <v>283</v>
      </c>
      <c r="D36" s="12" t="s">
        <v>45</v>
      </c>
      <c r="E36" s="9" t="n">
        <v>5</v>
      </c>
      <c r="F36" s="10" t="s">
        <v>284</v>
      </c>
      <c r="G36" s="12" t="s">
        <v>140</v>
      </c>
      <c r="H36" s="9" t="n">
        <v>4</v>
      </c>
      <c r="I36" s="10" t="s">
        <v>285</v>
      </c>
    </row>
    <row r="37" customFormat="false" ht="79.85" hidden="false" customHeight="false" outlineLevel="0" collapsed="false">
      <c r="A37" s="9" t="s">
        <v>286</v>
      </c>
      <c r="B37" s="9" t="s">
        <v>282</v>
      </c>
      <c r="C37" s="10" t="s">
        <v>287</v>
      </c>
      <c r="D37" s="12" t="s">
        <v>45</v>
      </c>
      <c r="E37" s="9" t="n">
        <v>3</v>
      </c>
      <c r="F37" s="10" t="s">
        <v>288</v>
      </c>
      <c r="G37" s="12" t="s">
        <v>140</v>
      </c>
      <c r="H37" s="9" t="n">
        <v>4</v>
      </c>
      <c r="I37" s="10" t="s">
        <v>289</v>
      </c>
    </row>
    <row r="38" customFormat="false" ht="68.65" hidden="false" customHeight="false" outlineLevel="0" collapsed="false">
      <c r="A38" s="9" t="s">
        <v>290</v>
      </c>
      <c r="B38" s="9" t="s">
        <v>282</v>
      </c>
      <c r="C38" s="10" t="s">
        <v>291</v>
      </c>
      <c r="D38" s="12" t="s">
        <v>45</v>
      </c>
      <c r="E38" s="9" t="n">
        <v>5</v>
      </c>
      <c r="F38" s="10" t="s">
        <v>292</v>
      </c>
      <c r="G38" s="12" t="s">
        <v>140</v>
      </c>
      <c r="H38" s="9" t="n">
        <v>4</v>
      </c>
      <c r="I38" s="10" t="s">
        <v>293</v>
      </c>
    </row>
  </sheetData>
  <autoFilter ref="A1:I38"/>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9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3"/>
    <col collapsed="false" customWidth="true" hidden="false" outlineLevel="0" max="2" min="2" style="0" width="34"/>
    <col collapsed="false" customWidth="true" hidden="false" outlineLevel="0" max="3" min="3" style="0" width="92"/>
    <col collapsed="false" customWidth="true" hidden="false" outlineLevel="0" max="4" min="4" style="0" width="20"/>
    <col collapsed="false" customWidth="true" hidden="false" outlineLevel="0" max="5" min="5" style="0" width="16"/>
    <col collapsed="false" customWidth="true" hidden="false" outlineLevel="0" max="6" min="6" style="0" width="15"/>
  </cols>
  <sheetData>
    <row r="1" customFormat="false" ht="15" hidden="false" customHeight="false" outlineLevel="0" collapsed="false">
      <c r="A1" s="8" t="s">
        <v>294</v>
      </c>
      <c r="B1" s="8" t="s">
        <v>295</v>
      </c>
      <c r="C1" s="8" t="s">
        <v>296</v>
      </c>
      <c r="D1" s="8" t="s">
        <v>297</v>
      </c>
      <c r="E1" s="8" t="s">
        <v>130</v>
      </c>
      <c r="F1" s="8" t="s">
        <v>133</v>
      </c>
    </row>
    <row r="2" customFormat="false" ht="15" hidden="false" customHeight="false" outlineLevel="0" collapsed="false">
      <c r="A2" s="9" t="s">
        <v>298</v>
      </c>
      <c r="B2" s="9" t="s">
        <v>299</v>
      </c>
      <c r="C2" s="10" t="s">
        <v>300</v>
      </c>
      <c r="D2" s="9" t="s">
        <v>136</v>
      </c>
      <c r="E2" s="11" t="s">
        <v>43</v>
      </c>
      <c r="F2" s="12" t="s">
        <v>140</v>
      </c>
    </row>
    <row r="3" customFormat="false" ht="15" hidden="false" customHeight="false" outlineLevel="0" collapsed="false">
      <c r="A3" s="9" t="s">
        <v>301</v>
      </c>
      <c r="B3" s="9" t="s">
        <v>299</v>
      </c>
      <c r="C3" s="10" t="s">
        <v>302</v>
      </c>
      <c r="D3" s="9" t="s">
        <v>136</v>
      </c>
      <c r="E3" s="11" t="s">
        <v>43</v>
      </c>
      <c r="F3" s="12" t="s">
        <v>140</v>
      </c>
    </row>
    <row r="4" customFormat="false" ht="15" hidden="false" customHeight="false" outlineLevel="0" collapsed="false">
      <c r="A4" s="9" t="s">
        <v>303</v>
      </c>
      <c r="B4" s="9" t="s">
        <v>299</v>
      </c>
      <c r="C4" s="10" t="s">
        <v>304</v>
      </c>
      <c r="D4" s="9" t="s">
        <v>136</v>
      </c>
      <c r="E4" s="11" t="s">
        <v>43</v>
      </c>
      <c r="F4" s="12" t="s">
        <v>140</v>
      </c>
    </row>
    <row r="5" customFormat="false" ht="15" hidden="false" customHeight="false" outlineLevel="0" collapsed="false">
      <c r="A5" s="9" t="s">
        <v>305</v>
      </c>
      <c r="B5" s="9" t="s">
        <v>299</v>
      </c>
      <c r="C5" s="10" t="s">
        <v>306</v>
      </c>
      <c r="D5" s="9" t="s">
        <v>142</v>
      </c>
      <c r="E5" s="11" t="s">
        <v>43</v>
      </c>
      <c r="F5" s="12" t="s">
        <v>140</v>
      </c>
    </row>
    <row r="6" customFormat="false" ht="15" hidden="false" customHeight="false" outlineLevel="0" collapsed="false">
      <c r="A6" s="9" t="s">
        <v>307</v>
      </c>
      <c r="B6" s="9" t="s">
        <v>299</v>
      </c>
      <c r="C6" s="10" t="s">
        <v>308</v>
      </c>
      <c r="D6" s="9" t="s">
        <v>142</v>
      </c>
      <c r="E6" s="11" t="s">
        <v>43</v>
      </c>
      <c r="F6" s="12" t="s">
        <v>140</v>
      </c>
    </row>
    <row r="7" customFormat="false" ht="15" hidden="false" customHeight="false" outlineLevel="0" collapsed="false">
      <c r="A7" s="9" t="s">
        <v>309</v>
      </c>
      <c r="B7" s="9" t="s">
        <v>299</v>
      </c>
      <c r="C7" s="10" t="s">
        <v>310</v>
      </c>
      <c r="D7" s="9" t="s">
        <v>146</v>
      </c>
      <c r="E7" s="11" t="s">
        <v>43</v>
      </c>
      <c r="F7" s="12" t="s">
        <v>140</v>
      </c>
    </row>
    <row r="8" customFormat="false" ht="15" hidden="false" customHeight="false" outlineLevel="0" collapsed="false">
      <c r="A8" s="9" t="s">
        <v>311</v>
      </c>
      <c r="B8" s="9" t="s">
        <v>299</v>
      </c>
      <c r="C8" s="10" t="s">
        <v>312</v>
      </c>
      <c r="D8" s="9" t="s">
        <v>142</v>
      </c>
      <c r="E8" s="12" t="s">
        <v>45</v>
      </c>
      <c r="F8" s="12" t="s">
        <v>140</v>
      </c>
    </row>
    <row r="9" customFormat="false" ht="23.85" hidden="false" customHeight="false" outlineLevel="0" collapsed="false">
      <c r="A9" s="9" t="s">
        <v>313</v>
      </c>
      <c r="B9" s="9" t="s">
        <v>314</v>
      </c>
      <c r="C9" s="10" t="s">
        <v>315</v>
      </c>
      <c r="D9" s="9" t="s">
        <v>150</v>
      </c>
      <c r="E9" s="11" t="s">
        <v>43</v>
      </c>
      <c r="F9" s="12" t="s">
        <v>140</v>
      </c>
    </row>
    <row r="10" customFormat="false" ht="23.85" hidden="false" customHeight="false" outlineLevel="0" collapsed="false">
      <c r="A10" s="9" t="s">
        <v>316</v>
      </c>
      <c r="B10" s="9" t="s">
        <v>314</v>
      </c>
      <c r="C10" s="10" t="s">
        <v>317</v>
      </c>
      <c r="D10" s="9" t="s">
        <v>154</v>
      </c>
      <c r="E10" s="11" t="s">
        <v>43</v>
      </c>
      <c r="F10" s="12" t="s">
        <v>140</v>
      </c>
    </row>
    <row r="11" customFormat="false" ht="15" hidden="false" customHeight="false" outlineLevel="0" collapsed="false">
      <c r="A11" s="9" t="s">
        <v>318</v>
      </c>
      <c r="B11" s="9" t="s">
        <v>314</v>
      </c>
      <c r="C11" s="10" t="s">
        <v>319</v>
      </c>
      <c r="D11" s="9" t="s">
        <v>154</v>
      </c>
      <c r="E11" s="11" t="s">
        <v>43</v>
      </c>
      <c r="F11" s="12" t="s">
        <v>140</v>
      </c>
    </row>
    <row r="12" customFormat="false" ht="15" hidden="false" customHeight="false" outlineLevel="0" collapsed="false">
      <c r="A12" s="9" t="s">
        <v>320</v>
      </c>
      <c r="B12" s="9" t="s">
        <v>314</v>
      </c>
      <c r="C12" s="10" t="s">
        <v>321</v>
      </c>
      <c r="D12" s="9" t="s">
        <v>154</v>
      </c>
      <c r="E12" s="11" t="s">
        <v>43</v>
      </c>
      <c r="F12" s="12" t="s">
        <v>140</v>
      </c>
    </row>
    <row r="13" customFormat="false" ht="23.85" hidden="false" customHeight="false" outlineLevel="0" collapsed="false">
      <c r="A13" s="9" t="s">
        <v>322</v>
      </c>
      <c r="B13" s="9" t="s">
        <v>314</v>
      </c>
      <c r="C13" s="10" t="s">
        <v>323</v>
      </c>
      <c r="D13" s="9" t="s">
        <v>158</v>
      </c>
      <c r="E13" s="11" t="s">
        <v>43</v>
      </c>
      <c r="F13" s="12" t="s">
        <v>140</v>
      </c>
    </row>
    <row r="14" customFormat="false" ht="15" hidden="false" customHeight="false" outlineLevel="0" collapsed="false">
      <c r="A14" s="9" t="s">
        <v>324</v>
      </c>
      <c r="B14" s="9" t="s">
        <v>314</v>
      </c>
      <c r="C14" s="10" t="s">
        <v>325</v>
      </c>
      <c r="D14" s="9" t="s">
        <v>158</v>
      </c>
      <c r="E14" s="11" t="s">
        <v>43</v>
      </c>
      <c r="F14" s="12" t="s">
        <v>140</v>
      </c>
    </row>
    <row r="15" customFormat="false" ht="23.85" hidden="false" customHeight="false" outlineLevel="0" collapsed="false">
      <c r="A15" s="9" t="s">
        <v>326</v>
      </c>
      <c r="B15" s="9" t="s">
        <v>314</v>
      </c>
      <c r="C15" s="10" t="s">
        <v>327</v>
      </c>
      <c r="D15" s="9" t="s">
        <v>158</v>
      </c>
      <c r="E15" s="11" t="s">
        <v>43</v>
      </c>
      <c r="F15" s="12" t="s">
        <v>140</v>
      </c>
    </row>
    <row r="16" customFormat="false" ht="15" hidden="false" customHeight="false" outlineLevel="0" collapsed="false">
      <c r="A16" s="9" t="s">
        <v>328</v>
      </c>
      <c r="B16" s="9" t="s">
        <v>314</v>
      </c>
      <c r="C16" s="10" t="s">
        <v>329</v>
      </c>
      <c r="D16" s="9" t="s">
        <v>158</v>
      </c>
      <c r="E16" s="12" t="s">
        <v>45</v>
      </c>
      <c r="F16" s="12" t="s">
        <v>140</v>
      </c>
    </row>
    <row r="17" customFormat="false" ht="15" hidden="false" customHeight="false" outlineLevel="0" collapsed="false">
      <c r="A17" s="9" t="s">
        <v>330</v>
      </c>
      <c r="B17" s="9" t="s">
        <v>314</v>
      </c>
      <c r="C17" s="10" t="s">
        <v>331</v>
      </c>
      <c r="D17" s="9" t="s">
        <v>162</v>
      </c>
      <c r="E17" s="13" t="s">
        <v>47</v>
      </c>
      <c r="F17" s="12" t="s">
        <v>140</v>
      </c>
    </row>
    <row r="18" customFormat="false" ht="23.85" hidden="false" customHeight="false" outlineLevel="0" collapsed="false">
      <c r="A18" s="9" t="s">
        <v>332</v>
      </c>
      <c r="B18" s="9" t="s">
        <v>333</v>
      </c>
      <c r="C18" s="10" t="s">
        <v>334</v>
      </c>
      <c r="D18" s="9" t="s">
        <v>166</v>
      </c>
      <c r="E18" s="11" t="s">
        <v>43</v>
      </c>
      <c r="F18" s="12" t="s">
        <v>140</v>
      </c>
    </row>
    <row r="19" customFormat="false" ht="15" hidden="false" customHeight="false" outlineLevel="0" collapsed="false">
      <c r="A19" s="9" t="s">
        <v>335</v>
      </c>
      <c r="B19" s="9" t="s">
        <v>333</v>
      </c>
      <c r="C19" s="10" t="s">
        <v>336</v>
      </c>
      <c r="D19" s="9" t="s">
        <v>166</v>
      </c>
      <c r="E19" s="11" t="s">
        <v>43</v>
      </c>
      <c r="F19" s="12" t="s">
        <v>140</v>
      </c>
    </row>
    <row r="20" customFormat="false" ht="15" hidden="false" customHeight="false" outlineLevel="0" collapsed="false">
      <c r="A20" s="9" t="s">
        <v>337</v>
      </c>
      <c r="B20" s="9" t="s">
        <v>333</v>
      </c>
      <c r="C20" s="10" t="s">
        <v>338</v>
      </c>
      <c r="D20" s="9" t="s">
        <v>166</v>
      </c>
      <c r="E20" s="12" t="s">
        <v>45</v>
      </c>
      <c r="F20" s="12" t="s">
        <v>140</v>
      </c>
    </row>
    <row r="21" customFormat="false" ht="23.85" hidden="false" customHeight="false" outlineLevel="0" collapsed="false">
      <c r="A21" s="9" t="s">
        <v>339</v>
      </c>
      <c r="B21" s="9" t="s">
        <v>333</v>
      </c>
      <c r="C21" s="10" t="s">
        <v>340</v>
      </c>
      <c r="D21" s="9" t="s">
        <v>171</v>
      </c>
      <c r="E21" s="11" t="s">
        <v>43</v>
      </c>
      <c r="F21" s="12" t="s">
        <v>140</v>
      </c>
    </row>
    <row r="22" customFormat="false" ht="15" hidden="false" customHeight="false" outlineLevel="0" collapsed="false">
      <c r="A22" s="9" t="s">
        <v>341</v>
      </c>
      <c r="B22" s="9" t="s">
        <v>333</v>
      </c>
      <c r="C22" s="10" t="s">
        <v>342</v>
      </c>
      <c r="D22" s="9" t="s">
        <v>171</v>
      </c>
      <c r="E22" s="11" t="s">
        <v>43</v>
      </c>
      <c r="F22" s="12" t="s">
        <v>140</v>
      </c>
    </row>
    <row r="23" customFormat="false" ht="15" hidden="false" customHeight="false" outlineLevel="0" collapsed="false">
      <c r="A23" s="9" t="s">
        <v>343</v>
      </c>
      <c r="B23" s="9" t="s">
        <v>333</v>
      </c>
      <c r="C23" s="10" t="s">
        <v>344</v>
      </c>
      <c r="D23" s="9" t="s">
        <v>171</v>
      </c>
      <c r="E23" s="12" t="s">
        <v>45</v>
      </c>
      <c r="F23" s="12" t="s">
        <v>140</v>
      </c>
    </row>
    <row r="24" customFormat="false" ht="15" hidden="false" customHeight="false" outlineLevel="0" collapsed="false">
      <c r="A24" s="9" t="s">
        <v>345</v>
      </c>
      <c r="B24" s="9" t="s">
        <v>333</v>
      </c>
      <c r="C24" s="10" t="s">
        <v>346</v>
      </c>
      <c r="D24" s="9" t="s">
        <v>175</v>
      </c>
      <c r="E24" s="12" t="s">
        <v>45</v>
      </c>
      <c r="F24" s="12" t="s">
        <v>140</v>
      </c>
    </row>
    <row r="25" customFormat="false" ht="15" hidden="false" customHeight="false" outlineLevel="0" collapsed="false">
      <c r="A25" s="9" t="s">
        <v>347</v>
      </c>
      <c r="B25" s="9" t="s">
        <v>333</v>
      </c>
      <c r="C25" s="10" t="s">
        <v>348</v>
      </c>
      <c r="D25" s="9" t="s">
        <v>179</v>
      </c>
      <c r="E25" s="11" t="s">
        <v>43</v>
      </c>
      <c r="F25" s="12" t="s">
        <v>140</v>
      </c>
    </row>
    <row r="26" customFormat="false" ht="15" hidden="false" customHeight="false" outlineLevel="0" collapsed="false">
      <c r="A26" s="9" t="s">
        <v>349</v>
      </c>
      <c r="B26" s="9" t="s">
        <v>333</v>
      </c>
      <c r="C26" s="10" t="s">
        <v>350</v>
      </c>
      <c r="D26" s="9" t="s">
        <v>179</v>
      </c>
      <c r="E26" s="11" t="s">
        <v>43</v>
      </c>
      <c r="F26" s="12" t="s">
        <v>140</v>
      </c>
    </row>
    <row r="27" customFormat="false" ht="15" hidden="false" customHeight="false" outlineLevel="0" collapsed="false">
      <c r="A27" s="9" t="s">
        <v>351</v>
      </c>
      <c r="B27" s="9" t="s">
        <v>333</v>
      </c>
      <c r="C27" s="10" t="s">
        <v>352</v>
      </c>
      <c r="D27" s="9" t="s">
        <v>183</v>
      </c>
      <c r="E27" s="13" t="s">
        <v>47</v>
      </c>
      <c r="F27" s="12" t="s">
        <v>140</v>
      </c>
    </row>
    <row r="28" customFormat="false" ht="15" hidden="false" customHeight="false" outlineLevel="0" collapsed="false">
      <c r="A28" s="9" t="s">
        <v>353</v>
      </c>
      <c r="B28" s="9" t="s">
        <v>333</v>
      </c>
      <c r="C28" s="10" t="s">
        <v>354</v>
      </c>
      <c r="D28" s="9" t="s">
        <v>286</v>
      </c>
      <c r="E28" s="12" t="s">
        <v>45</v>
      </c>
      <c r="F28" s="12" t="s">
        <v>140</v>
      </c>
    </row>
    <row r="29" customFormat="false" ht="23.85" hidden="false" customHeight="false" outlineLevel="0" collapsed="false">
      <c r="A29" s="9" t="s">
        <v>355</v>
      </c>
      <c r="B29" s="9" t="s">
        <v>356</v>
      </c>
      <c r="C29" s="10" t="s">
        <v>357</v>
      </c>
      <c r="D29" s="9" t="s">
        <v>187</v>
      </c>
      <c r="E29" s="11" t="s">
        <v>43</v>
      </c>
      <c r="F29" s="12" t="s">
        <v>140</v>
      </c>
    </row>
    <row r="30" customFormat="false" ht="15" hidden="false" customHeight="false" outlineLevel="0" collapsed="false">
      <c r="A30" s="9" t="s">
        <v>358</v>
      </c>
      <c r="B30" s="9" t="s">
        <v>356</v>
      </c>
      <c r="C30" s="10" t="s">
        <v>359</v>
      </c>
      <c r="D30" s="9" t="s">
        <v>187</v>
      </c>
      <c r="E30" s="11" t="s">
        <v>43</v>
      </c>
      <c r="F30" s="12" t="s">
        <v>140</v>
      </c>
    </row>
    <row r="31" customFormat="false" ht="15" hidden="false" customHeight="false" outlineLevel="0" collapsed="false">
      <c r="A31" s="9" t="s">
        <v>360</v>
      </c>
      <c r="B31" s="9" t="s">
        <v>356</v>
      </c>
      <c r="C31" s="10" t="s">
        <v>361</v>
      </c>
      <c r="D31" s="9" t="s">
        <v>187</v>
      </c>
      <c r="E31" s="11" t="s">
        <v>43</v>
      </c>
      <c r="F31" s="12" t="s">
        <v>140</v>
      </c>
    </row>
    <row r="32" customFormat="false" ht="15" hidden="false" customHeight="false" outlineLevel="0" collapsed="false">
      <c r="A32" s="9" t="s">
        <v>362</v>
      </c>
      <c r="B32" s="9" t="s">
        <v>356</v>
      </c>
      <c r="C32" s="10" t="s">
        <v>363</v>
      </c>
      <c r="D32" s="9" t="s">
        <v>187</v>
      </c>
      <c r="E32" s="12" t="s">
        <v>45</v>
      </c>
      <c r="F32" s="12" t="s">
        <v>140</v>
      </c>
    </row>
    <row r="33" customFormat="false" ht="15" hidden="false" customHeight="false" outlineLevel="0" collapsed="false">
      <c r="A33" s="9" t="s">
        <v>364</v>
      </c>
      <c r="B33" s="9" t="s">
        <v>356</v>
      </c>
      <c r="C33" s="10" t="s">
        <v>365</v>
      </c>
      <c r="D33" s="9" t="s">
        <v>187</v>
      </c>
      <c r="E33" s="12" t="s">
        <v>45</v>
      </c>
      <c r="F33" s="12" t="s">
        <v>140</v>
      </c>
    </row>
    <row r="34" customFormat="false" ht="15" hidden="false" customHeight="false" outlineLevel="0" collapsed="false">
      <c r="A34" s="9" t="s">
        <v>366</v>
      </c>
      <c r="B34" s="9" t="s">
        <v>356</v>
      </c>
      <c r="C34" s="10" t="s">
        <v>367</v>
      </c>
      <c r="D34" s="9" t="s">
        <v>192</v>
      </c>
      <c r="E34" s="11" t="s">
        <v>43</v>
      </c>
      <c r="F34" s="12" t="s">
        <v>140</v>
      </c>
    </row>
    <row r="35" customFormat="false" ht="15" hidden="false" customHeight="false" outlineLevel="0" collapsed="false">
      <c r="A35" s="9" t="s">
        <v>368</v>
      </c>
      <c r="B35" s="9" t="s">
        <v>356</v>
      </c>
      <c r="C35" s="10" t="s">
        <v>369</v>
      </c>
      <c r="D35" s="9" t="s">
        <v>192</v>
      </c>
      <c r="E35" s="12" t="s">
        <v>45</v>
      </c>
      <c r="F35" s="12" t="s">
        <v>140</v>
      </c>
    </row>
    <row r="36" customFormat="false" ht="15" hidden="false" customHeight="false" outlineLevel="0" collapsed="false">
      <c r="A36" s="9" t="s">
        <v>370</v>
      </c>
      <c r="B36" s="9" t="s">
        <v>356</v>
      </c>
      <c r="C36" s="10" t="s">
        <v>371</v>
      </c>
      <c r="D36" s="9" t="s">
        <v>187</v>
      </c>
      <c r="E36" s="11" t="s">
        <v>43</v>
      </c>
      <c r="F36" s="12" t="s">
        <v>140</v>
      </c>
    </row>
    <row r="37" customFormat="false" ht="15" hidden="false" customHeight="false" outlineLevel="0" collapsed="false">
      <c r="A37" s="9" t="s">
        <v>372</v>
      </c>
      <c r="B37" s="9" t="s">
        <v>356</v>
      </c>
      <c r="C37" s="10" t="s">
        <v>373</v>
      </c>
      <c r="D37" s="9" t="s">
        <v>196</v>
      </c>
      <c r="E37" s="12" t="s">
        <v>45</v>
      </c>
      <c r="F37" s="12" t="s">
        <v>140</v>
      </c>
    </row>
    <row r="38" customFormat="false" ht="23.85" hidden="false" customHeight="false" outlineLevel="0" collapsed="false">
      <c r="A38" s="9" t="s">
        <v>374</v>
      </c>
      <c r="B38" s="9" t="s">
        <v>356</v>
      </c>
      <c r="C38" s="10" t="s">
        <v>375</v>
      </c>
      <c r="D38" s="9" t="s">
        <v>187</v>
      </c>
      <c r="E38" s="11" t="s">
        <v>43</v>
      </c>
      <c r="F38" s="12" t="s">
        <v>140</v>
      </c>
    </row>
    <row r="39" customFormat="false" ht="15" hidden="false" customHeight="false" outlineLevel="0" collapsed="false">
      <c r="A39" s="9" t="s">
        <v>376</v>
      </c>
      <c r="B39" s="9" t="s">
        <v>377</v>
      </c>
      <c r="C39" s="10" t="s">
        <v>378</v>
      </c>
      <c r="D39" s="9" t="s">
        <v>200</v>
      </c>
      <c r="E39" s="11" t="s">
        <v>43</v>
      </c>
      <c r="F39" s="12" t="s">
        <v>140</v>
      </c>
    </row>
    <row r="40" customFormat="false" ht="15" hidden="false" customHeight="false" outlineLevel="0" collapsed="false">
      <c r="A40" s="9" t="s">
        <v>379</v>
      </c>
      <c r="B40" s="9" t="s">
        <v>377</v>
      </c>
      <c r="C40" s="10" t="s">
        <v>380</v>
      </c>
      <c r="D40" s="9" t="s">
        <v>200</v>
      </c>
      <c r="E40" s="11" t="s">
        <v>43</v>
      </c>
      <c r="F40" s="12" t="s">
        <v>140</v>
      </c>
    </row>
    <row r="41" customFormat="false" ht="23.85" hidden="false" customHeight="false" outlineLevel="0" collapsed="false">
      <c r="A41" s="9" t="s">
        <v>381</v>
      </c>
      <c r="B41" s="9" t="s">
        <v>377</v>
      </c>
      <c r="C41" s="10" t="s">
        <v>382</v>
      </c>
      <c r="D41" s="9" t="s">
        <v>200</v>
      </c>
      <c r="E41" s="11" t="s">
        <v>43</v>
      </c>
      <c r="F41" s="12" t="s">
        <v>140</v>
      </c>
    </row>
    <row r="42" customFormat="false" ht="15" hidden="false" customHeight="false" outlineLevel="0" collapsed="false">
      <c r="A42" s="9" t="s">
        <v>383</v>
      </c>
      <c r="B42" s="9" t="s">
        <v>377</v>
      </c>
      <c r="C42" s="10" t="s">
        <v>384</v>
      </c>
      <c r="D42" s="9" t="s">
        <v>200</v>
      </c>
      <c r="E42" s="11" t="s">
        <v>43</v>
      </c>
      <c r="F42" s="12" t="s">
        <v>140</v>
      </c>
    </row>
    <row r="43" customFormat="false" ht="15" hidden="false" customHeight="false" outlineLevel="0" collapsed="false">
      <c r="A43" s="9" t="s">
        <v>385</v>
      </c>
      <c r="B43" s="9" t="s">
        <v>377</v>
      </c>
      <c r="C43" s="10" t="s">
        <v>386</v>
      </c>
      <c r="D43" s="9" t="s">
        <v>205</v>
      </c>
      <c r="E43" s="11" t="s">
        <v>43</v>
      </c>
      <c r="F43" s="12" t="s">
        <v>140</v>
      </c>
    </row>
    <row r="44" customFormat="false" ht="15" hidden="false" customHeight="false" outlineLevel="0" collapsed="false">
      <c r="A44" s="9" t="s">
        <v>387</v>
      </c>
      <c r="B44" s="9" t="s">
        <v>377</v>
      </c>
      <c r="C44" s="10" t="s">
        <v>388</v>
      </c>
      <c r="D44" s="9" t="s">
        <v>205</v>
      </c>
      <c r="E44" s="11" t="s">
        <v>43</v>
      </c>
      <c r="F44" s="12" t="s">
        <v>140</v>
      </c>
    </row>
    <row r="45" customFormat="false" ht="15" hidden="false" customHeight="false" outlineLevel="0" collapsed="false">
      <c r="A45" s="9" t="s">
        <v>389</v>
      </c>
      <c r="B45" s="9" t="s">
        <v>377</v>
      </c>
      <c r="C45" s="10" t="s">
        <v>390</v>
      </c>
      <c r="D45" s="9" t="s">
        <v>209</v>
      </c>
      <c r="E45" s="11" t="s">
        <v>43</v>
      </c>
      <c r="F45" s="12" t="s">
        <v>140</v>
      </c>
    </row>
    <row r="46" customFormat="false" ht="15" hidden="false" customHeight="false" outlineLevel="0" collapsed="false">
      <c r="A46" s="9" t="s">
        <v>391</v>
      </c>
      <c r="B46" s="9" t="s">
        <v>377</v>
      </c>
      <c r="C46" s="10" t="s">
        <v>392</v>
      </c>
      <c r="D46" s="9" t="s">
        <v>209</v>
      </c>
      <c r="E46" s="11" t="s">
        <v>43</v>
      </c>
      <c r="F46" s="12" t="s">
        <v>140</v>
      </c>
    </row>
    <row r="47" customFormat="false" ht="15" hidden="false" customHeight="false" outlineLevel="0" collapsed="false">
      <c r="A47" s="9" t="s">
        <v>393</v>
      </c>
      <c r="B47" s="9" t="s">
        <v>377</v>
      </c>
      <c r="C47" s="10" t="s">
        <v>394</v>
      </c>
      <c r="D47" s="9" t="s">
        <v>209</v>
      </c>
      <c r="E47" s="12" t="s">
        <v>45</v>
      </c>
      <c r="F47" s="12" t="s">
        <v>140</v>
      </c>
    </row>
    <row r="48" customFormat="false" ht="15" hidden="false" customHeight="false" outlineLevel="0" collapsed="false">
      <c r="A48" s="9" t="s">
        <v>395</v>
      </c>
      <c r="B48" s="9" t="s">
        <v>377</v>
      </c>
      <c r="C48" s="10" t="s">
        <v>396</v>
      </c>
      <c r="D48" s="9" t="s">
        <v>213</v>
      </c>
      <c r="E48" s="12" t="s">
        <v>45</v>
      </c>
      <c r="F48" s="12" t="s">
        <v>140</v>
      </c>
    </row>
    <row r="49" customFormat="false" ht="15" hidden="false" customHeight="false" outlineLevel="0" collapsed="false">
      <c r="A49" s="9" t="s">
        <v>397</v>
      </c>
      <c r="B49" s="9" t="s">
        <v>377</v>
      </c>
      <c r="C49" s="10" t="s">
        <v>398</v>
      </c>
      <c r="D49" s="9" t="s">
        <v>217</v>
      </c>
      <c r="E49" s="11" t="s">
        <v>43</v>
      </c>
      <c r="F49" s="12" t="s">
        <v>140</v>
      </c>
    </row>
    <row r="50" customFormat="false" ht="15" hidden="false" customHeight="false" outlineLevel="0" collapsed="false">
      <c r="A50" s="9" t="s">
        <v>399</v>
      </c>
      <c r="B50" s="9" t="s">
        <v>377</v>
      </c>
      <c r="C50" s="10" t="s">
        <v>400</v>
      </c>
      <c r="D50" s="9" t="s">
        <v>217</v>
      </c>
      <c r="E50" s="11" t="s">
        <v>43</v>
      </c>
      <c r="F50" s="12" t="s">
        <v>140</v>
      </c>
    </row>
    <row r="51" customFormat="false" ht="15" hidden="false" customHeight="false" outlineLevel="0" collapsed="false">
      <c r="A51" s="9" t="s">
        <v>401</v>
      </c>
      <c r="B51" s="9" t="s">
        <v>377</v>
      </c>
      <c r="C51" s="10" t="s">
        <v>402</v>
      </c>
      <c r="D51" s="9" t="s">
        <v>217</v>
      </c>
      <c r="E51" s="12" t="s">
        <v>45</v>
      </c>
      <c r="F51" s="12" t="s">
        <v>140</v>
      </c>
    </row>
    <row r="52" customFormat="false" ht="15" hidden="false" customHeight="false" outlineLevel="0" collapsed="false">
      <c r="A52" s="9" t="s">
        <v>403</v>
      </c>
      <c r="B52" s="9" t="s">
        <v>377</v>
      </c>
      <c r="C52" s="10" t="s">
        <v>404</v>
      </c>
      <c r="D52" s="9" t="s">
        <v>217</v>
      </c>
      <c r="E52" s="11" t="s">
        <v>43</v>
      </c>
      <c r="F52" s="12" t="s">
        <v>140</v>
      </c>
    </row>
    <row r="53" customFormat="false" ht="23.85" hidden="false" customHeight="false" outlineLevel="0" collapsed="false">
      <c r="A53" s="9" t="s">
        <v>405</v>
      </c>
      <c r="B53" s="9" t="s">
        <v>377</v>
      </c>
      <c r="C53" s="10" t="s">
        <v>406</v>
      </c>
      <c r="D53" s="9" t="s">
        <v>221</v>
      </c>
      <c r="E53" s="13" t="s">
        <v>47</v>
      </c>
      <c r="F53" s="12" t="s">
        <v>140</v>
      </c>
    </row>
    <row r="54" customFormat="false" ht="15" hidden="false" customHeight="false" outlineLevel="0" collapsed="false">
      <c r="A54" s="9" t="s">
        <v>407</v>
      </c>
      <c r="B54" s="9" t="s">
        <v>377</v>
      </c>
      <c r="C54" s="10" t="s">
        <v>408</v>
      </c>
      <c r="D54" s="9" t="s">
        <v>217</v>
      </c>
      <c r="E54" s="12" t="s">
        <v>45</v>
      </c>
      <c r="F54" s="12" t="s">
        <v>140</v>
      </c>
    </row>
    <row r="55" customFormat="false" ht="15" hidden="false" customHeight="false" outlineLevel="0" collapsed="false">
      <c r="A55" s="9" t="s">
        <v>409</v>
      </c>
      <c r="B55" s="9" t="s">
        <v>410</v>
      </c>
      <c r="C55" s="10" t="s">
        <v>411</v>
      </c>
      <c r="D55" s="9" t="s">
        <v>225</v>
      </c>
      <c r="E55" s="11" t="s">
        <v>43</v>
      </c>
      <c r="F55" s="12" t="s">
        <v>140</v>
      </c>
    </row>
    <row r="56" customFormat="false" ht="15" hidden="false" customHeight="false" outlineLevel="0" collapsed="false">
      <c r="A56" s="9" t="s">
        <v>412</v>
      </c>
      <c r="B56" s="9" t="s">
        <v>410</v>
      </c>
      <c r="C56" s="10" t="s">
        <v>413</v>
      </c>
      <c r="D56" s="9" t="s">
        <v>225</v>
      </c>
      <c r="E56" s="11" t="s">
        <v>43</v>
      </c>
      <c r="F56" s="12" t="s">
        <v>140</v>
      </c>
    </row>
    <row r="57" customFormat="false" ht="15" hidden="false" customHeight="false" outlineLevel="0" collapsed="false">
      <c r="A57" s="9" t="s">
        <v>414</v>
      </c>
      <c r="B57" s="9" t="s">
        <v>410</v>
      </c>
      <c r="C57" s="10" t="s">
        <v>415</v>
      </c>
      <c r="D57" s="9" t="s">
        <v>230</v>
      </c>
      <c r="E57" s="11" t="s">
        <v>43</v>
      </c>
      <c r="F57" s="12" t="s">
        <v>140</v>
      </c>
    </row>
    <row r="58" customFormat="false" ht="15" hidden="false" customHeight="false" outlineLevel="0" collapsed="false">
      <c r="A58" s="9" t="s">
        <v>416</v>
      </c>
      <c r="B58" s="9" t="s">
        <v>410</v>
      </c>
      <c r="C58" s="10" t="s">
        <v>417</v>
      </c>
      <c r="D58" s="9" t="s">
        <v>230</v>
      </c>
      <c r="E58" s="11" t="s">
        <v>43</v>
      </c>
      <c r="F58" s="12" t="s">
        <v>140</v>
      </c>
    </row>
    <row r="59" customFormat="false" ht="15" hidden="false" customHeight="false" outlineLevel="0" collapsed="false">
      <c r="A59" s="9" t="s">
        <v>418</v>
      </c>
      <c r="B59" s="9" t="s">
        <v>410</v>
      </c>
      <c r="C59" s="10" t="s">
        <v>419</v>
      </c>
      <c r="D59" s="9" t="s">
        <v>230</v>
      </c>
      <c r="E59" s="12" t="s">
        <v>45</v>
      </c>
      <c r="F59" s="12" t="s">
        <v>140</v>
      </c>
    </row>
    <row r="60" customFormat="false" ht="15" hidden="false" customHeight="false" outlineLevel="0" collapsed="false">
      <c r="A60" s="9" t="s">
        <v>420</v>
      </c>
      <c r="B60" s="9" t="s">
        <v>410</v>
      </c>
      <c r="C60" s="10" t="s">
        <v>421</v>
      </c>
      <c r="D60" s="9" t="s">
        <v>230</v>
      </c>
      <c r="E60" s="12" t="s">
        <v>45</v>
      </c>
      <c r="F60" s="12" t="s">
        <v>140</v>
      </c>
    </row>
    <row r="61" customFormat="false" ht="15" hidden="false" customHeight="false" outlineLevel="0" collapsed="false">
      <c r="A61" s="9" t="s">
        <v>422</v>
      </c>
      <c r="B61" s="9" t="s">
        <v>410</v>
      </c>
      <c r="C61" s="10" t="s">
        <v>423</v>
      </c>
      <c r="D61" s="9" t="s">
        <v>230</v>
      </c>
      <c r="E61" s="13" t="s">
        <v>47</v>
      </c>
      <c r="F61" s="12" t="s">
        <v>140</v>
      </c>
    </row>
    <row r="62" customFormat="false" ht="15" hidden="false" customHeight="false" outlineLevel="0" collapsed="false">
      <c r="A62" s="9" t="s">
        <v>424</v>
      </c>
      <c r="B62" s="9" t="s">
        <v>410</v>
      </c>
      <c r="C62" s="10" t="s">
        <v>425</v>
      </c>
      <c r="D62" s="9" t="s">
        <v>234</v>
      </c>
      <c r="E62" s="12" t="s">
        <v>45</v>
      </c>
      <c r="F62" s="12" t="s">
        <v>140</v>
      </c>
    </row>
    <row r="63" customFormat="false" ht="15" hidden="false" customHeight="false" outlineLevel="0" collapsed="false">
      <c r="A63" s="9" t="s">
        <v>426</v>
      </c>
      <c r="B63" s="9" t="s">
        <v>410</v>
      </c>
      <c r="C63" s="10" t="s">
        <v>427</v>
      </c>
      <c r="D63" s="9" t="s">
        <v>234</v>
      </c>
      <c r="E63" s="13" t="s">
        <v>47</v>
      </c>
      <c r="F63" s="12" t="s">
        <v>140</v>
      </c>
    </row>
    <row r="64" customFormat="false" ht="15" hidden="false" customHeight="false" outlineLevel="0" collapsed="false">
      <c r="A64" s="9" t="s">
        <v>428</v>
      </c>
      <c r="B64" s="9" t="s">
        <v>429</v>
      </c>
      <c r="C64" s="10" t="s">
        <v>430</v>
      </c>
      <c r="D64" s="9" t="s">
        <v>238</v>
      </c>
      <c r="E64" s="12" t="s">
        <v>45</v>
      </c>
      <c r="F64" s="12" t="s">
        <v>140</v>
      </c>
    </row>
    <row r="65" customFormat="false" ht="15" hidden="false" customHeight="false" outlineLevel="0" collapsed="false">
      <c r="A65" s="9" t="s">
        <v>431</v>
      </c>
      <c r="B65" s="9" t="s">
        <v>429</v>
      </c>
      <c r="C65" s="10" t="s">
        <v>432</v>
      </c>
      <c r="D65" s="9" t="s">
        <v>243</v>
      </c>
      <c r="E65" s="12" t="s">
        <v>45</v>
      </c>
      <c r="F65" s="12" t="s">
        <v>140</v>
      </c>
    </row>
    <row r="66" customFormat="false" ht="15" hidden="false" customHeight="false" outlineLevel="0" collapsed="false">
      <c r="A66" s="9" t="s">
        <v>433</v>
      </c>
      <c r="B66" s="9" t="s">
        <v>429</v>
      </c>
      <c r="C66" s="10" t="s">
        <v>434</v>
      </c>
      <c r="D66" s="9" t="s">
        <v>243</v>
      </c>
      <c r="E66" s="13" t="s">
        <v>47</v>
      </c>
      <c r="F66" s="12" t="s">
        <v>140</v>
      </c>
    </row>
    <row r="67" customFormat="false" ht="15" hidden="false" customHeight="false" outlineLevel="0" collapsed="false">
      <c r="A67" s="9" t="s">
        <v>435</v>
      </c>
      <c r="B67" s="9" t="s">
        <v>429</v>
      </c>
      <c r="C67" s="10" t="s">
        <v>436</v>
      </c>
      <c r="D67" s="9" t="s">
        <v>247</v>
      </c>
      <c r="E67" s="12" t="s">
        <v>45</v>
      </c>
      <c r="F67" s="12" t="s">
        <v>140</v>
      </c>
    </row>
    <row r="68" customFormat="false" ht="15" hidden="false" customHeight="false" outlineLevel="0" collapsed="false">
      <c r="A68" s="9" t="s">
        <v>437</v>
      </c>
      <c r="B68" s="9" t="s">
        <v>429</v>
      </c>
      <c r="C68" s="10" t="s">
        <v>438</v>
      </c>
      <c r="D68" s="9" t="s">
        <v>247</v>
      </c>
      <c r="E68" s="12" t="s">
        <v>45</v>
      </c>
      <c r="F68" s="12" t="s">
        <v>140</v>
      </c>
    </row>
    <row r="69" customFormat="false" ht="15" hidden="false" customHeight="false" outlineLevel="0" collapsed="false">
      <c r="A69" s="9" t="s">
        <v>439</v>
      </c>
      <c r="B69" s="9" t="s">
        <v>429</v>
      </c>
      <c r="C69" s="10" t="s">
        <v>440</v>
      </c>
      <c r="D69" s="9" t="s">
        <v>247</v>
      </c>
      <c r="E69" s="13" t="s">
        <v>47</v>
      </c>
      <c r="F69" s="12" t="s">
        <v>140</v>
      </c>
    </row>
    <row r="70" customFormat="false" ht="15" hidden="false" customHeight="false" outlineLevel="0" collapsed="false">
      <c r="A70" s="9" t="s">
        <v>441</v>
      </c>
      <c r="B70" s="9" t="s">
        <v>429</v>
      </c>
      <c r="C70" s="10" t="s">
        <v>442</v>
      </c>
      <c r="D70" s="9" t="s">
        <v>443</v>
      </c>
      <c r="E70" s="12" t="s">
        <v>45</v>
      </c>
      <c r="F70" s="12" t="s">
        <v>140</v>
      </c>
    </row>
    <row r="71" customFormat="false" ht="15" hidden="false" customHeight="false" outlineLevel="0" collapsed="false">
      <c r="A71" s="9" t="s">
        <v>444</v>
      </c>
      <c r="B71" s="9" t="s">
        <v>445</v>
      </c>
      <c r="C71" s="10" t="s">
        <v>446</v>
      </c>
      <c r="D71" s="9" t="s">
        <v>251</v>
      </c>
      <c r="E71" s="11" t="s">
        <v>43</v>
      </c>
      <c r="F71" s="12" t="s">
        <v>140</v>
      </c>
    </row>
    <row r="72" customFormat="false" ht="15" hidden="false" customHeight="false" outlineLevel="0" collapsed="false">
      <c r="A72" s="9" t="s">
        <v>447</v>
      </c>
      <c r="B72" s="9" t="s">
        <v>445</v>
      </c>
      <c r="C72" s="10" t="s">
        <v>448</v>
      </c>
      <c r="D72" s="9" t="s">
        <v>251</v>
      </c>
      <c r="E72" s="11" t="s">
        <v>43</v>
      </c>
      <c r="F72" s="12" t="s">
        <v>140</v>
      </c>
    </row>
    <row r="73" customFormat="false" ht="15" hidden="false" customHeight="false" outlineLevel="0" collapsed="false">
      <c r="A73" s="9" t="s">
        <v>449</v>
      </c>
      <c r="B73" s="9" t="s">
        <v>445</v>
      </c>
      <c r="C73" s="10" t="s">
        <v>450</v>
      </c>
      <c r="D73" s="9" t="s">
        <v>251</v>
      </c>
      <c r="E73" s="11" t="s">
        <v>43</v>
      </c>
      <c r="F73" s="12" t="s">
        <v>140</v>
      </c>
    </row>
    <row r="74" customFormat="false" ht="15" hidden="false" customHeight="false" outlineLevel="0" collapsed="false">
      <c r="A74" s="9" t="s">
        <v>451</v>
      </c>
      <c r="B74" s="9" t="s">
        <v>445</v>
      </c>
      <c r="C74" s="10" t="s">
        <v>452</v>
      </c>
      <c r="D74" s="9" t="s">
        <v>251</v>
      </c>
      <c r="E74" s="11" t="s">
        <v>43</v>
      </c>
      <c r="F74" s="12" t="s">
        <v>140</v>
      </c>
    </row>
    <row r="75" customFormat="false" ht="15" hidden="false" customHeight="false" outlineLevel="0" collapsed="false">
      <c r="A75" s="9" t="s">
        <v>453</v>
      </c>
      <c r="B75" s="9" t="s">
        <v>445</v>
      </c>
      <c r="C75" s="10" t="s">
        <v>454</v>
      </c>
      <c r="D75" s="9" t="s">
        <v>256</v>
      </c>
      <c r="E75" s="12" t="s">
        <v>45</v>
      </c>
      <c r="F75" s="12" t="s">
        <v>140</v>
      </c>
    </row>
    <row r="76" customFormat="false" ht="15" hidden="false" customHeight="false" outlineLevel="0" collapsed="false">
      <c r="A76" s="9" t="s">
        <v>455</v>
      </c>
      <c r="B76" s="9" t="s">
        <v>445</v>
      </c>
      <c r="C76" s="10" t="s">
        <v>456</v>
      </c>
      <c r="D76" s="9" t="s">
        <v>457</v>
      </c>
      <c r="E76" s="11" t="s">
        <v>43</v>
      </c>
      <c r="F76" s="12" t="s">
        <v>140</v>
      </c>
    </row>
    <row r="77" customFormat="false" ht="15" hidden="false" customHeight="false" outlineLevel="0" collapsed="false">
      <c r="A77" s="9" t="s">
        <v>458</v>
      </c>
      <c r="B77" s="9" t="s">
        <v>445</v>
      </c>
      <c r="C77" s="10" t="s">
        <v>459</v>
      </c>
      <c r="D77" s="9" t="s">
        <v>260</v>
      </c>
      <c r="E77" s="12" t="s">
        <v>45</v>
      </c>
      <c r="F77" s="12" t="s">
        <v>140</v>
      </c>
    </row>
    <row r="78" customFormat="false" ht="15" hidden="false" customHeight="false" outlineLevel="0" collapsed="false">
      <c r="A78" s="9" t="s">
        <v>460</v>
      </c>
      <c r="B78" s="9" t="s">
        <v>445</v>
      </c>
      <c r="C78" s="10" t="s">
        <v>461</v>
      </c>
      <c r="D78" s="9" t="s">
        <v>264</v>
      </c>
      <c r="E78" s="13" t="s">
        <v>47</v>
      </c>
      <c r="F78" s="12" t="s">
        <v>140</v>
      </c>
    </row>
    <row r="79" customFormat="false" ht="15" hidden="false" customHeight="false" outlineLevel="0" collapsed="false">
      <c r="A79" s="9" t="s">
        <v>462</v>
      </c>
      <c r="B79" s="9" t="s">
        <v>445</v>
      </c>
      <c r="C79" s="10" t="s">
        <v>463</v>
      </c>
      <c r="D79" s="9" t="s">
        <v>464</v>
      </c>
      <c r="E79" s="13" t="s">
        <v>47</v>
      </c>
      <c r="F79" s="12" t="s">
        <v>140</v>
      </c>
    </row>
    <row r="80" customFormat="false" ht="23.85" hidden="false" customHeight="false" outlineLevel="0" collapsed="false">
      <c r="A80" s="9" t="s">
        <v>465</v>
      </c>
      <c r="B80" s="9" t="s">
        <v>466</v>
      </c>
      <c r="C80" s="10" t="s">
        <v>467</v>
      </c>
      <c r="D80" s="9" t="s">
        <v>268</v>
      </c>
      <c r="E80" s="11" t="s">
        <v>43</v>
      </c>
      <c r="F80" s="12" t="s">
        <v>140</v>
      </c>
    </row>
    <row r="81" customFormat="false" ht="15" hidden="false" customHeight="false" outlineLevel="0" collapsed="false">
      <c r="A81" s="9" t="s">
        <v>468</v>
      </c>
      <c r="B81" s="9" t="s">
        <v>466</v>
      </c>
      <c r="C81" s="10" t="s">
        <v>469</v>
      </c>
      <c r="D81" s="9" t="s">
        <v>268</v>
      </c>
      <c r="E81" s="11" t="s">
        <v>43</v>
      </c>
      <c r="F81" s="12" t="s">
        <v>140</v>
      </c>
    </row>
    <row r="82" customFormat="false" ht="15" hidden="false" customHeight="false" outlineLevel="0" collapsed="false">
      <c r="A82" s="9" t="s">
        <v>470</v>
      </c>
      <c r="B82" s="9" t="s">
        <v>466</v>
      </c>
      <c r="C82" s="10" t="s">
        <v>471</v>
      </c>
      <c r="D82" s="9" t="s">
        <v>273</v>
      </c>
      <c r="E82" s="11" t="s">
        <v>43</v>
      </c>
      <c r="F82" s="12" t="s">
        <v>140</v>
      </c>
    </row>
    <row r="83" customFormat="false" ht="15" hidden="false" customHeight="false" outlineLevel="0" collapsed="false">
      <c r="A83" s="9" t="s">
        <v>472</v>
      </c>
      <c r="B83" s="9" t="s">
        <v>466</v>
      </c>
      <c r="C83" s="10" t="s">
        <v>473</v>
      </c>
      <c r="D83" s="9" t="s">
        <v>273</v>
      </c>
      <c r="E83" s="12" t="s">
        <v>45</v>
      </c>
      <c r="F83" s="12" t="s">
        <v>140</v>
      </c>
    </row>
    <row r="84" customFormat="false" ht="15" hidden="false" customHeight="false" outlineLevel="0" collapsed="false">
      <c r="A84" s="9" t="s">
        <v>474</v>
      </c>
      <c r="B84" s="9" t="s">
        <v>466</v>
      </c>
      <c r="C84" s="10" t="s">
        <v>475</v>
      </c>
      <c r="D84" s="9" t="s">
        <v>476</v>
      </c>
      <c r="E84" s="12" t="s">
        <v>45</v>
      </c>
      <c r="F84" s="12" t="s">
        <v>140</v>
      </c>
    </row>
    <row r="85" customFormat="false" ht="15" hidden="false" customHeight="false" outlineLevel="0" collapsed="false">
      <c r="A85" s="9" t="s">
        <v>477</v>
      </c>
      <c r="B85" s="9" t="s">
        <v>466</v>
      </c>
      <c r="C85" s="10" t="s">
        <v>478</v>
      </c>
      <c r="D85" s="9" t="s">
        <v>277</v>
      </c>
      <c r="E85" s="13" t="s">
        <v>47</v>
      </c>
      <c r="F85" s="12" t="s">
        <v>140</v>
      </c>
    </row>
    <row r="86" customFormat="false" ht="15" hidden="false" customHeight="false" outlineLevel="0" collapsed="false">
      <c r="A86" s="9" t="s">
        <v>479</v>
      </c>
      <c r="B86" s="9" t="s">
        <v>466</v>
      </c>
      <c r="C86" s="10" t="s">
        <v>480</v>
      </c>
      <c r="D86" s="9" t="s">
        <v>277</v>
      </c>
      <c r="E86" s="13" t="s">
        <v>47</v>
      </c>
      <c r="F86" s="12" t="s">
        <v>140</v>
      </c>
    </row>
    <row r="87" customFormat="false" ht="15" hidden="false" customHeight="false" outlineLevel="0" collapsed="false">
      <c r="A87" s="9" t="s">
        <v>481</v>
      </c>
      <c r="B87" s="9" t="s">
        <v>466</v>
      </c>
      <c r="C87" s="10" t="s">
        <v>482</v>
      </c>
      <c r="D87" s="9" t="s">
        <v>234</v>
      </c>
      <c r="E87" s="12" t="s">
        <v>45</v>
      </c>
      <c r="F87" s="12" t="s">
        <v>140</v>
      </c>
    </row>
    <row r="88" customFormat="false" ht="15" hidden="false" customHeight="false" outlineLevel="0" collapsed="false">
      <c r="A88" s="9" t="s">
        <v>483</v>
      </c>
      <c r="B88" s="9" t="s">
        <v>484</v>
      </c>
      <c r="C88" s="10" t="s">
        <v>485</v>
      </c>
      <c r="D88" s="9" t="s">
        <v>281</v>
      </c>
      <c r="E88" s="12" t="s">
        <v>45</v>
      </c>
      <c r="F88" s="12" t="s">
        <v>140</v>
      </c>
    </row>
    <row r="89" customFormat="false" ht="15" hidden="false" customHeight="false" outlineLevel="0" collapsed="false">
      <c r="A89" s="9" t="s">
        <v>486</v>
      </c>
      <c r="B89" s="9" t="s">
        <v>484</v>
      </c>
      <c r="C89" s="10" t="s">
        <v>487</v>
      </c>
      <c r="D89" s="9" t="s">
        <v>281</v>
      </c>
      <c r="E89" s="12" t="s">
        <v>45</v>
      </c>
      <c r="F89" s="12" t="s">
        <v>140</v>
      </c>
    </row>
    <row r="90" customFormat="false" ht="23.85" hidden="false" customHeight="false" outlineLevel="0" collapsed="false">
      <c r="A90" s="9" t="s">
        <v>488</v>
      </c>
      <c r="B90" s="9" t="s">
        <v>484</v>
      </c>
      <c r="C90" s="10" t="s">
        <v>489</v>
      </c>
      <c r="D90" s="9" t="s">
        <v>281</v>
      </c>
      <c r="E90" s="12" t="s">
        <v>45</v>
      </c>
      <c r="F90" s="12" t="s">
        <v>140</v>
      </c>
    </row>
    <row r="91" customFormat="false" ht="15" hidden="false" customHeight="false" outlineLevel="0" collapsed="false">
      <c r="A91" s="9" t="s">
        <v>490</v>
      </c>
      <c r="B91" s="9" t="s">
        <v>484</v>
      </c>
      <c r="C91" s="10" t="s">
        <v>491</v>
      </c>
      <c r="D91" s="9" t="s">
        <v>281</v>
      </c>
      <c r="E91" s="13" t="s">
        <v>47</v>
      </c>
      <c r="F91" s="12" t="s">
        <v>140</v>
      </c>
    </row>
    <row r="92" customFormat="false" ht="15" hidden="false" customHeight="false" outlineLevel="0" collapsed="false">
      <c r="A92" s="9" t="s">
        <v>492</v>
      </c>
      <c r="B92" s="9" t="s">
        <v>484</v>
      </c>
      <c r="C92" s="10" t="s">
        <v>493</v>
      </c>
      <c r="D92" s="9" t="s">
        <v>290</v>
      </c>
      <c r="E92" s="12" t="s">
        <v>45</v>
      </c>
      <c r="F92" s="12" t="s">
        <v>140</v>
      </c>
    </row>
    <row r="93" customFormat="false" ht="15" hidden="false" customHeight="false" outlineLevel="0" collapsed="false">
      <c r="A93" s="9" t="s">
        <v>494</v>
      </c>
      <c r="B93" s="9" t="s">
        <v>484</v>
      </c>
      <c r="C93" s="10" t="s">
        <v>495</v>
      </c>
      <c r="D93" s="9" t="s">
        <v>290</v>
      </c>
      <c r="E93" s="12" t="s">
        <v>45</v>
      </c>
      <c r="F93" s="12" t="s">
        <v>140</v>
      </c>
    </row>
    <row r="94" customFormat="false" ht="15" hidden="false" customHeight="false" outlineLevel="0" collapsed="false">
      <c r="A94" s="9" t="s">
        <v>496</v>
      </c>
      <c r="B94" s="9" t="s">
        <v>484</v>
      </c>
      <c r="C94" s="10" t="s">
        <v>497</v>
      </c>
      <c r="D94" s="9" t="s">
        <v>290</v>
      </c>
      <c r="E94" s="12" t="s">
        <v>45</v>
      </c>
      <c r="F94" s="12" t="s">
        <v>140</v>
      </c>
    </row>
  </sheetData>
  <autoFilter ref="A1:F94"/>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3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28"/>
    <col collapsed="false" customWidth="true" hidden="false" outlineLevel="0" max="3" min="3" style="0" width="86"/>
    <col collapsed="false" customWidth="true" hidden="false" outlineLevel="0" max="4" min="4" style="0" width="60"/>
  </cols>
  <sheetData>
    <row r="1" customFormat="false" ht="15" hidden="false" customHeight="false" outlineLevel="0" collapsed="false">
      <c r="A1" s="8" t="s">
        <v>498</v>
      </c>
      <c r="B1" s="8" t="s">
        <v>499</v>
      </c>
      <c r="C1" s="8" t="s">
        <v>500</v>
      </c>
      <c r="D1" s="8" t="s">
        <v>501</v>
      </c>
    </row>
    <row r="2" customFormat="false" ht="15" hidden="false" customHeight="false" outlineLevel="0" collapsed="false">
      <c r="A2" s="9" t="s">
        <v>502</v>
      </c>
      <c r="B2" s="9" t="s">
        <v>503</v>
      </c>
      <c r="C2" s="10" t="s">
        <v>504</v>
      </c>
      <c r="D2" s="10" t="s">
        <v>505</v>
      </c>
    </row>
    <row r="3" customFormat="false" ht="15" hidden="false" customHeight="false" outlineLevel="0" collapsed="false">
      <c r="A3" s="9" t="s">
        <v>506</v>
      </c>
      <c r="B3" s="9" t="s">
        <v>503</v>
      </c>
      <c r="C3" s="10" t="s">
        <v>507</v>
      </c>
      <c r="D3" s="10" t="s">
        <v>508</v>
      </c>
    </row>
    <row r="4" customFormat="false" ht="15" hidden="false" customHeight="false" outlineLevel="0" collapsed="false">
      <c r="A4" s="9" t="s">
        <v>509</v>
      </c>
      <c r="B4" s="9" t="s">
        <v>503</v>
      </c>
      <c r="C4" s="10" t="s">
        <v>510</v>
      </c>
      <c r="D4" s="10" t="s">
        <v>511</v>
      </c>
    </row>
    <row r="5" customFormat="false" ht="15" hidden="false" customHeight="false" outlineLevel="0" collapsed="false">
      <c r="A5" s="9" t="s">
        <v>512</v>
      </c>
      <c r="B5" s="9" t="s">
        <v>503</v>
      </c>
      <c r="C5" s="10" t="s">
        <v>513</v>
      </c>
      <c r="D5" s="10" t="s">
        <v>514</v>
      </c>
    </row>
    <row r="6" customFormat="false" ht="15" hidden="false" customHeight="false" outlineLevel="0" collapsed="false">
      <c r="A6" s="9" t="s">
        <v>515</v>
      </c>
      <c r="B6" s="9" t="s">
        <v>503</v>
      </c>
      <c r="C6" s="10" t="s">
        <v>516</v>
      </c>
      <c r="D6" s="10" t="s">
        <v>517</v>
      </c>
    </row>
    <row r="7" customFormat="false" ht="15" hidden="false" customHeight="false" outlineLevel="0" collapsed="false">
      <c r="A7" s="9" t="s">
        <v>518</v>
      </c>
      <c r="B7" s="9" t="s">
        <v>519</v>
      </c>
      <c r="C7" s="10" t="s">
        <v>520</v>
      </c>
      <c r="D7" s="10" t="s">
        <v>521</v>
      </c>
    </row>
    <row r="8" customFormat="false" ht="15" hidden="false" customHeight="false" outlineLevel="0" collapsed="false">
      <c r="A8" s="9" t="s">
        <v>522</v>
      </c>
      <c r="B8" s="9" t="s">
        <v>519</v>
      </c>
      <c r="C8" s="10" t="s">
        <v>523</v>
      </c>
      <c r="D8" s="10" t="s">
        <v>524</v>
      </c>
    </row>
    <row r="9" customFormat="false" ht="15" hidden="false" customHeight="false" outlineLevel="0" collapsed="false">
      <c r="A9" s="9" t="s">
        <v>525</v>
      </c>
      <c r="B9" s="9" t="s">
        <v>519</v>
      </c>
      <c r="C9" s="10" t="s">
        <v>526</v>
      </c>
      <c r="D9" s="10" t="s">
        <v>527</v>
      </c>
    </row>
    <row r="10" customFormat="false" ht="23.85" hidden="false" customHeight="false" outlineLevel="0" collapsed="false">
      <c r="A10" s="9" t="s">
        <v>528</v>
      </c>
      <c r="B10" s="9" t="s">
        <v>519</v>
      </c>
      <c r="C10" s="10" t="s">
        <v>529</v>
      </c>
      <c r="D10" s="10" t="s">
        <v>530</v>
      </c>
    </row>
    <row r="11" customFormat="false" ht="15" hidden="false" customHeight="false" outlineLevel="0" collapsed="false">
      <c r="A11" s="9" t="s">
        <v>531</v>
      </c>
      <c r="B11" s="9" t="s">
        <v>519</v>
      </c>
      <c r="C11" s="10" t="s">
        <v>532</v>
      </c>
      <c r="D11" s="10" t="s">
        <v>533</v>
      </c>
    </row>
    <row r="12" customFormat="false" ht="23.85" hidden="false" customHeight="false" outlineLevel="0" collapsed="false">
      <c r="A12" s="9" t="s">
        <v>534</v>
      </c>
      <c r="B12" s="9" t="s">
        <v>519</v>
      </c>
      <c r="C12" s="10" t="s">
        <v>535</v>
      </c>
      <c r="D12" s="10" t="s">
        <v>536</v>
      </c>
    </row>
    <row r="13" customFormat="false" ht="15" hidden="false" customHeight="false" outlineLevel="0" collapsed="false">
      <c r="A13" s="9" t="s">
        <v>537</v>
      </c>
      <c r="B13" s="9" t="s">
        <v>538</v>
      </c>
      <c r="C13" s="10" t="s">
        <v>539</v>
      </c>
      <c r="D13" s="10" t="s">
        <v>540</v>
      </c>
    </row>
    <row r="14" customFormat="false" ht="15" hidden="false" customHeight="false" outlineLevel="0" collapsed="false">
      <c r="A14" s="9" t="s">
        <v>541</v>
      </c>
      <c r="B14" s="9" t="s">
        <v>538</v>
      </c>
      <c r="C14" s="10" t="s">
        <v>542</v>
      </c>
      <c r="D14" s="10" t="s">
        <v>543</v>
      </c>
    </row>
    <row r="15" customFormat="false" ht="15" hidden="false" customHeight="false" outlineLevel="0" collapsed="false">
      <c r="A15" s="9" t="s">
        <v>544</v>
      </c>
      <c r="B15" s="9" t="s">
        <v>538</v>
      </c>
      <c r="C15" s="10" t="s">
        <v>545</v>
      </c>
      <c r="D15" s="10" t="s">
        <v>546</v>
      </c>
    </row>
    <row r="16" customFormat="false" ht="15" hidden="false" customHeight="false" outlineLevel="0" collapsed="false">
      <c r="A16" s="9" t="s">
        <v>547</v>
      </c>
      <c r="B16" s="9" t="s">
        <v>538</v>
      </c>
      <c r="C16" s="10" t="s">
        <v>548</v>
      </c>
      <c r="D16" s="10" t="s">
        <v>549</v>
      </c>
    </row>
    <row r="17" customFormat="false" ht="23.85" hidden="false" customHeight="false" outlineLevel="0" collapsed="false">
      <c r="A17" s="9" t="s">
        <v>550</v>
      </c>
      <c r="B17" s="9" t="s">
        <v>538</v>
      </c>
      <c r="C17" s="10" t="s">
        <v>551</v>
      </c>
      <c r="D17" s="10" t="s">
        <v>552</v>
      </c>
    </row>
    <row r="18" customFormat="false" ht="15" hidden="false" customHeight="false" outlineLevel="0" collapsed="false">
      <c r="A18" s="9" t="s">
        <v>553</v>
      </c>
      <c r="B18" s="9" t="s">
        <v>538</v>
      </c>
      <c r="C18" s="10" t="s">
        <v>554</v>
      </c>
      <c r="D18" s="10" t="s">
        <v>555</v>
      </c>
    </row>
    <row r="19" customFormat="false" ht="23.85" hidden="false" customHeight="false" outlineLevel="0" collapsed="false">
      <c r="A19" s="9" t="s">
        <v>556</v>
      </c>
      <c r="B19" s="9" t="s">
        <v>538</v>
      </c>
      <c r="C19" s="10" t="s">
        <v>557</v>
      </c>
      <c r="D19" s="10" t="s">
        <v>558</v>
      </c>
    </row>
    <row r="20" customFormat="false" ht="15" hidden="false" customHeight="false" outlineLevel="0" collapsed="false">
      <c r="A20" s="9" t="s">
        <v>559</v>
      </c>
      <c r="B20" s="9" t="s">
        <v>560</v>
      </c>
      <c r="C20" s="10" t="s">
        <v>561</v>
      </c>
      <c r="D20" s="10" t="s">
        <v>562</v>
      </c>
    </row>
    <row r="21" customFormat="false" ht="15" hidden="false" customHeight="false" outlineLevel="0" collapsed="false">
      <c r="A21" s="9" t="s">
        <v>563</v>
      </c>
      <c r="B21" s="9" t="s">
        <v>560</v>
      </c>
      <c r="C21" s="10" t="s">
        <v>564</v>
      </c>
      <c r="D21" s="10" t="s">
        <v>565</v>
      </c>
    </row>
    <row r="22" customFormat="false" ht="15" hidden="false" customHeight="false" outlineLevel="0" collapsed="false">
      <c r="A22" s="9" t="s">
        <v>566</v>
      </c>
      <c r="B22" s="9" t="s">
        <v>560</v>
      </c>
      <c r="C22" s="10" t="s">
        <v>567</v>
      </c>
      <c r="D22" s="10" t="s">
        <v>568</v>
      </c>
    </row>
    <row r="23" customFormat="false" ht="23.85" hidden="false" customHeight="false" outlineLevel="0" collapsed="false">
      <c r="A23" s="9" t="s">
        <v>569</v>
      </c>
      <c r="B23" s="9" t="s">
        <v>560</v>
      </c>
      <c r="C23" s="10" t="s">
        <v>570</v>
      </c>
      <c r="D23" s="10" t="s">
        <v>571</v>
      </c>
    </row>
    <row r="24" customFormat="false" ht="15" hidden="false" customHeight="false" outlineLevel="0" collapsed="false">
      <c r="A24" s="9" t="s">
        <v>572</v>
      </c>
      <c r="B24" s="9" t="s">
        <v>560</v>
      </c>
      <c r="C24" s="10" t="s">
        <v>573</v>
      </c>
      <c r="D24" s="10" t="s">
        <v>574</v>
      </c>
    </row>
    <row r="25" customFormat="false" ht="23.85" hidden="false" customHeight="false" outlineLevel="0" collapsed="false">
      <c r="A25" s="9" t="s">
        <v>575</v>
      </c>
      <c r="B25" s="9" t="s">
        <v>576</v>
      </c>
      <c r="C25" s="10" t="s">
        <v>577</v>
      </c>
      <c r="D25" s="10" t="s">
        <v>578</v>
      </c>
    </row>
    <row r="26" customFormat="false" ht="23.85" hidden="false" customHeight="false" outlineLevel="0" collapsed="false">
      <c r="A26" s="9" t="s">
        <v>579</v>
      </c>
      <c r="B26" s="9" t="s">
        <v>576</v>
      </c>
      <c r="C26" s="10" t="s">
        <v>580</v>
      </c>
      <c r="D26" s="10" t="s">
        <v>578</v>
      </c>
    </row>
    <row r="27" customFormat="false" ht="23.85" hidden="false" customHeight="false" outlineLevel="0" collapsed="false">
      <c r="A27" s="9" t="s">
        <v>581</v>
      </c>
      <c r="B27" s="9" t="s">
        <v>576</v>
      </c>
      <c r="C27" s="10" t="s">
        <v>582</v>
      </c>
      <c r="D27" s="10" t="s">
        <v>578</v>
      </c>
    </row>
    <row r="28" customFormat="false" ht="15" hidden="false" customHeight="false" outlineLevel="0" collapsed="false">
      <c r="A28" s="9" t="s">
        <v>583</v>
      </c>
      <c r="B28" s="9" t="s">
        <v>576</v>
      </c>
      <c r="C28" s="10" t="s">
        <v>584</v>
      </c>
      <c r="D28" s="10" t="s">
        <v>578</v>
      </c>
    </row>
    <row r="29" customFormat="false" ht="15" hidden="false" customHeight="false" outlineLevel="0" collapsed="false">
      <c r="A29" s="9" t="s">
        <v>585</v>
      </c>
      <c r="B29" s="9" t="s">
        <v>576</v>
      </c>
      <c r="C29" s="10" t="s">
        <v>586</v>
      </c>
      <c r="D29" s="10" t="s">
        <v>578</v>
      </c>
    </row>
    <row r="30" customFormat="false" ht="15" hidden="false" customHeight="false" outlineLevel="0" collapsed="false">
      <c r="A30" s="9" t="s">
        <v>587</v>
      </c>
      <c r="B30" s="9" t="s">
        <v>588</v>
      </c>
      <c r="C30" s="10" t="s">
        <v>589</v>
      </c>
      <c r="D30" s="10" t="s">
        <v>578</v>
      </c>
    </row>
    <row r="31" customFormat="false" ht="15" hidden="false" customHeight="false" outlineLevel="0" collapsed="false">
      <c r="A31" s="9" t="s">
        <v>590</v>
      </c>
      <c r="B31" s="9" t="s">
        <v>588</v>
      </c>
      <c r="C31" s="10" t="s">
        <v>591</v>
      </c>
      <c r="D31" s="10" t="s">
        <v>578</v>
      </c>
    </row>
    <row r="32" customFormat="false" ht="15" hidden="false" customHeight="false" outlineLevel="0" collapsed="false">
      <c r="A32" s="9" t="s">
        <v>592</v>
      </c>
      <c r="B32" s="9" t="s">
        <v>588</v>
      </c>
      <c r="C32" s="10" t="s">
        <v>593</v>
      </c>
      <c r="D32" s="10" t="s">
        <v>578</v>
      </c>
    </row>
    <row r="33" customFormat="false" ht="15" hidden="false" customHeight="false" outlineLevel="0" collapsed="false">
      <c r="A33" s="9" t="s">
        <v>594</v>
      </c>
      <c r="B33" s="9" t="s">
        <v>588</v>
      </c>
      <c r="C33" s="10" t="s">
        <v>595</v>
      </c>
      <c r="D33" s="10" t="s">
        <v>578</v>
      </c>
    </row>
    <row r="34" customFormat="false" ht="23.85" hidden="false" customHeight="false" outlineLevel="0" collapsed="false">
      <c r="A34" s="9" t="s">
        <v>596</v>
      </c>
      <c r="B34" s="9" t="s">
        <v>597</v>
      </c>
      <c r="C34" s="10" t="s">
        <v>598</v>
      </c>
      <c r="D34" s="10" t="s">
        <v>578</v>
      </c>
    </row>
    <row r="35" customFormat="false" ht="15" hidden="false" customHeight="false" outlineLevel="0" collapsed="false">
      <c r="A35" s="9" t="s">
        <v>599</v>
      </c>
      <c r="B35" s="9" t="s">
        <v>597</v>
      </c>
      <c r="C35" s="10" t="s">
        <v>600</v>
      </c>
      <c r="D35" s="10" t="s">
        <v>578</v>
      </c>
    </row>
    <row r="36" customFormat="false" ht="23.85" hidden="false" customHeight="false" outlineLevel="0" collapsed="false">
      <c r="A36" s="9" t="s">
        <v>601</v>
      </c>
      <c r="B36" s="9" t="s">
        <v>597</v>
      </c>
      <c r="C36" s="10" t="s">
        <v>602</v>
      </c>
      <c r="D36" s="10" t="s">
        <v>578</v>
      </c>
    </row>
    <row r="37" customFormat="false" ht="15" hidden="false" customHeight="false" outlineLevel="0" collapsed="false">
      <c r="A37" s="9" t="s">
        <v>603</v>
      </c>
      <c r="B37" s="9" t="s">
        <v>597</v>
      </c>
      <c r="C37" s="10" t="s">
        <v>604</v>
      </c>
      <c r="D37" s="10" t="s">
        <v>578</v>
      </c>
    </row>
  </sheetData>
  <autoFilter ref="A1:D37"/>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38"/>
    <col collapsed="false" customWidth="true" hidden="false" outlineLevel="0" max="3" min="3" style="0" width="100"/>
    <col collapsed="false" customWidth="true" hidden="false" outlineLevel="0" max="4" min="4" style="0" width="32"/>
  </cols>
  <sheetData>
    <row r="1" customFormat="false" ht="15" hidden="false" customHeight="false" outlineLevel="0" collapsed="false">
      <c r="A1" s="8" t="s">
        <v>605</v>
      </c>
      <c r="B1" s="8" t="s">
        <v>606</v>
      </c>
      <c r="C1" s="8" t="s">
        <v>607</v>
      </c>
      <c r="D1" s="8" t="s">
        <v>608</v>
      </c>
    </row>
    <row r="2" customFormat="false" ht="23.85" hidden="false" customHeight="false" outlineLevel="0" collapsed="false">
      <c r="A2" s="9" t="s">
        <v>609</v>
      </c>
      <c r="B2" s="9" t="s">
        <v>610</v>
      </c>
      <c r="C2" s="10" t="s">
        <v>611</v>
      </c>
      <c r="D2" s="10" t="s">
        <v>612</v>
      </c>
    </row>
    <row r="3" customFormat="false" ht="15" hidden="false" customHeight="false" outlineLevel="0" collapsed="false">
      <c r="A3" s="9" t="s">
        <v>613</v>
      </c>
      <c r="B3" s="9" t="s">
        <v>614</v>
      </c>
      <c r="C3" s="10" t="s">
        <v>615</v>
      </c>
      <c r="D3" s="10" t="s">
        <v>616</v>
      </c>
    </row>
    <row r="4" customFormat="false" ht="15" hidden="false" customHeight="false" outlineLevel="0" collapsed="false">
      <c r="A4" s="9" t="s">
        <v>617</v>
      </c>
      <c r="B4" s="9" t="s">
        <v>618</v>
      </c>
      <c r="C4" s="10" t="s">
        <v>619</v>
      </c>
      <c r="D4" s="10" t="s">
        <v>326</v>
      </c>
    </row>
    <row r="5" customFormat="false" ht="23.85" hidden="false" customHeight="false" outlineLevel="0" collapsed="false">
      <c r="A5" s="9" t="s">
        <v>620</v>
      </c>
      <c r="B5" s="9" t="s">
        <v>621</v>
      </c>
      <c r="C5" s="10" t="s">
        <v>622</v>
      </c>
      <c r="D5" s="10" t="s">
        <v>623</v>
      </c>
    </row>
    <row r="6" customFormat="false" ht="23.85" hidden="false" customHeight="false" outlineLevel="0" collapsed="false">
      <c r="A6" s="9" t="s">
        <v>624</v>
      </c>
      <c r="B6" s="9" t="s">
        <v>625</v>
      </c>
      <c r="C6" s="10" t="s">
        <v>626</v>
      </c>
      <c r="D6" s="10" t="s">
        <v>627</v>
      </c>
    </row>
    <row r="7" customFormat="false" ht="15" hidden="false" customHeight="false" outlineLevel="0" collapsed="false">
      <c r="A7" s="9" t="s">
        <v>628</v>
      </c>
      <c r="B7" s="9" t="s">
        <v>629</v>
      </c>
      <c r="C7" s="10" t="s">
        <v>630</v>
      </c>
      <c r="D7" s="10" t="s">
        <v>322</v>
      </c>
    </row>
    <row r="8" customFormat="false" ht="15" hidden="false" customHeight="false" outlineLevel="0" collapsed="false">
      <c r="A8" s="9" t="s">
        <v>631</v>
      </c>
      <c r="B8" s="9" t="s">
        <v>632</v>
      </c>
      <c r="C8" s="10" t="s">
        <v>633</v>
      </c>
      <c r="D8" s="10" t="s">
        <v>379</v>
      </c>
    </row>
    <row r="9" customFormat="false" ht="15" hidden="false" customHeight="false" outlineLevel="0" collapsed="false">
      <c r="A9" s="9" t="s">
        <v>634</v>
      </c>
      <c r="B9" s="9" t="s">
        <v>635</v>
      </c>
      <c r="C9" s="10" t="s">
        <v>636</v>
      </c>
      <c r="D9" s="10" t="s">
        <v>351</v>
      </c>
    </row>
    <row r="10" customFormat="false" ht="23.85" hidden="false" customHeight="false" outlineLevel="0" collapsed="false">
      <c r="A10" s="9" t="s">
        <v>637</v>
      </c>
      <c r="B10" s="9" t="s">
        <v>638</v>
      </c>
      <c r="C10" s="10" t="s">
        <v>639</v>
      </c>
      <c r="D10" s="10" t="s">
        <v>379</v>
      </c>
    </row>
    <row r="11" customFormat="false" ht="23.85" hidden="false" customHeight="false" outlineLevel="0" collapsed="false">
      <c r="A11" s="9" t="s">
        <v>640</v>
      </c>
      <c r="B11" s="9" t="s">
        <v>641</v>
      </c>
      <c r="C11" s="10" t="s">
        <v>642</v>
      </c>
      <c r="D11" s="10" t="s">
        <v>643</v>
      </c>
    </row>
    <row r="12" customFormat="false" ht="23.85" hidden="false" customHeight="false" outlineLevel="0" collapsed="false">
      <c r="A12" s="9" t="s">
        <v>644</v>
      </c>
      <c r="B12" s="9" t="s">
        <v>645</v>
      </c>
      <c r="C12" s="10" t="s">
        <v>646</v>
      </c>
      <c r="D12" s="10" t="s">
        <v>647</v>
      </c>
    </row>
    <row r="13" customFormat="false" ht="23.85" hidden="false" customHeight="false" outlineLevel="0" collapsed="false">
      <c r="A13" s="9" t="s">
        <v>648</v>
      </c>
      <c r="B13" s="9" t="s">
        <v>649</v>
      </c>
      <c r="C13" s="10" t="s">
        <v>650</v>
      </c>
      <c r="D13" s="10" t="s">
        <v>651</v>
      </c>
    </row>
    <row r="14" customFormat="false" ht="23.85" hidden="false" customHeight="false" outlineLevel="0" collapsed="false">
      <c r="A14" s="9" t="s">
        <v>652</v>
      </c>
      <c r="B14" s="9" t="s">
        <v>653</v>
      </c>
      <c r="C14" s="10" t="s">
        <v>654</v>
      </c>
      <c r="D14" s="10" t="s">
        <v>655</v>
      </c>
    </row>
    <row r="15" customFormat="false" ht="23.85" hidden="false" customHeight="false" outlineLevel="0" collapsed="false">
      <c r="A15" s="9" t="s">
        <v>656</v>
      </c>
      <c r="B15" s="9" t="s">
        <v>657</v>
      </c>
      <c r="C15" s="10" t="s">
        <v>658</v>
      </c>
      <c r="D15" s="10" t="s">
        <v>320</v>
      </c>
    </row>
    <row r="16" customFormat="false" ht="23.85" hidden="false" customHeight="false" outlineLevel="0" collapsed="false">
      <c r="A16" s="9" t="s">
        <v>659</v>
      </c>
      <c r="B16" s="9" t="s">
        <v>660</v>
      </c>
      <c r="C16" s="10" t="s">
        <v>661</v>
      </c>
      <c r="D16" s="10" t="s">
        <v>435</v>
      </c>
    </row>
    <row r="17" customFormat="false" ht="15" hidden="false" customHeight="false" outlineLevel="0" collapsed="false">
      <c r="A17" s="9" t="s">
        <v>662</v>
      </c>
      <c r="B17" s="9" t="s">
        <v>663</v>
      </c>
      <c r="C17" s="10" t="s">
        <v>664</v>
      </c>
      <c r="D17" s="10" t="s">
        <v>407</v>
      </c>
    </row>
    <row r="18" customFormat="false" ht="15" hidden="false" customHeight="false" outlineLevel="0" collapsed="false">
      <c r="A18" s="9" t="s">
        <v>665</v>
      </c>
      <c r="B18" s="9" t="s">
        <v>666</v>
      </c>
      <c r="C18" s="10" t="s">
        <v>667</v>
      </c>
      <c r="D18" s="10" t="s">
        <v>428</v>
      </c>
    </row>
    <row r="19" customFormat="false" ht="15" hidden="false" customHeight="false" outlineLevel="0" collapsed="false">
      <c r="A19" s="9" t="s">
        <v>668</v>
      </c>
      <c r="B19" s="9" t="s">
        <v>669</v>
      </c>
      <c r="C19" s="10" t="s">
        <v>670</v>
      </c>
      <c r="D19" s="10" t="s">
        <v>379</v>
      </c>
    </row>
    <row r="20" customFormat="false" ht="23.85" hidden="false" customHeight="false" outlineLevel="0" collapsed="false">
      <c r="A20" s="9" t="s">
        <v>671</v>
      </c>
      <c r="B20" s="9" t="s">
        <v>672</v>
      </c>
      <c r="C20" s="10" t="s">
        <v>673</v>
      </c>
      <c r="D20" s="10" t="s">
        <v>414</v>
      </c>
    </row>
    <row r="21" customFormat="false" ht="23.85" hidden="false" customHeight="false" outlineLevel="0" collapsed="false">
      <c r="A21" s="9" t="s">
        <v>674</v>
      </c>
      <c r="B21" s="9" t="s">
        <v>675</v>
      </c>
      <c r="C21" s="10" t="s">
        <v>676</v>
      </c>
      <c r="D21" s="10" t="s">
        <v>677</v>
      </c>
    </row>
    <row r="22" customFormat="false" ht="23.85" hidden="false" customHeight="false" outlineLevel="0" collapsed="false">
      <c r="A22" s="9" t="s">
        <v>678</v>
      </c>
      <c r="B22" s="9" t="s">
        <v>679</v>
      </c>
      <c r="C22" s="10" t="s">
        <v>680</v>
      </c>
      <c r="D22" s="10" t="s">
        <v>681</v>
      </c>
    </row>
    <row r="23" customFormat="false" ht="23.85" hidden="false" customHeight="false" outlineLevel="0" collapsed="false">
      <c r="A23" s="9" t="s">
        <v>682</v>
      </c>
      <c r="B23" s="9" t="s">
        <v>683</v>
      </c>
      <c r="C23" s="10" t="s">
        <v>684</v>
      </c>
      <c r="D23" s="10" t="s">
        <v>685</v>
      </c>
    </row>
    <row r="24" customFormat="false" ht="23.85" hidden="false" customHeight="false" outlineLevel="0" collapsed="false">
      <c r="A24" s="9" t="s">
        <v>686</v>
      </c>
      <c r="B24" s="9" t="s">
        <v>687</v>
      </c>
      <c r="C24" s="10" t="s">
        <v>688</v>
      </c>
      <c r="D24" s="10" t="s">
        <v>689</v>
      </c>
    </row>
  </sheetData>
  <autoFilter ref="A1:D24"/>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32"/>
    <col collapsed="false" customWidth="true" hidden="false" outlineLevel="0" max="3" min="3" style="0" width="14"/>
    <col collapsed="false" customWidth="true" hidden="false" outlineLevel="0" max="4" min="4" style="0" width="20"/>
    <col collapsed="false" customWidth="true" hidden="false" outlineLevel="0" max="5" min="5" style="0" width="44"/>
    <col collapsed="false" customWidth="true" hidden="false" outlineLevel="0" max="6" min="6" style="0" width="20"/>
    <col collapsed="false" customWidth="true" hidden="false" outlineLevel="0" max="7" min="7" style="0" width="66"/>
  </cols>
  <sheetData>
    <row r="1" customFormat="false" ht="15" hidden="false" customHeight="false" outlineLevel="0" collapsed="false">
      <c r="A1" s="8" t="s">
        <v>690</v>
      </c>
      <c r="B1" s="8" t="s">
        <v>691</v>
      </c>
      <c r="C1" s="8" t="s">
        <v>692</v>
      </c>
      <c r="D1" s="8" t="s">
        <v>30</v>
      </c>
      <c r="E1" s="8" t="s">
        <v>693</v>
      </c>
      <c r="F1" s="8" t="s">
        <v>694</v>
      </c>
      <c r="G1" s="8" t="s">
        <v>695</v>
      </c>
    </row>
    <row r="2" customFormat="false" ht="15" hidden="false" customHeight="false" outlineLevel="0" collapsed="false">
      <c r="A2" s="9" t="s">
        <v>696</v>
      </c>
      <c r="B2" s="9" t="s">
        <v>697</v>
      </c>
      <c r="C2" s="9" t="s">
        <v>698</v>
      </c>
      <c r="D2" s="9" t="s">
        <v>699</v>
      </c>
      <c r="E2" s="10" t="s">
        <v>700</v>
      </c>
      <c r="F2" s="9" t="s">
        <v>609</v>
      </c>
      <c r="G2" s="10" t="s">
        <v>701</v>
      </c>
    </row>
    <row r="3" customFormat="false" ht="15" hidden="false" customHeight="false" outlineLevel="0" collapsed="false">
      <c r="A3" s="9" t="s">
        <v>696</v>
      </c>
      <c r="B3" s="9" t="s">
        <v>697</v>
      </c>
      <c r="C3" s="9" t="s">
        <v>702</v>
      </c>
      <c r="D3" s="9" t="s">
        <v>200</v>
      </c>
      <c r="E3" s="10" t="s">
        <v>376</v>
      </c>
      <c r="F3" s="9" t="s">
        <v>578</v>
      </c>
      <c r="G3" s="10" t="s">
        <v>703</v>
      </c>
    </row>
    <row r="4" customFormat="false" ht="15" hidden="false" customHeight="false" outlineLevel="0" collapsed="false">
      <c r="A4" s="9" t="s">
        <v>704</v>
      </c>
      <c r="B4" s="9" t="s">
        <v>705</v>
      </c>
      <c r="C4" s="9" t="s">
        <v>706</v>
      </c>
      <c r="D4" s="9" t="s">
        <v>187</v>
      </c>
      <c r="E4" s="10" t="s">
        <v>360</v>
      </c>
      <c r="F4" s="9" t="s">
        <v>648</v>
      </c>
      <c r="G4" s="10" t="s">
        <v>707</v>
      </c>
    </row>
    <row r="5" customFormat="false" ht="15" hidden="false" customHeight="false" outlineLevel="0" collapsed="false">
      <c r="A5" s="9" t="s">
        <v>704</v>
      </c>
      <c r="B5" s="9" t="s">
        <v>705</v>
      </c>
      <c r="C5" s="9" t="s">
        <v>708</v>
      </c>
      <c r="D5" s="9" t="s">
        <v>200</v>
      </c>
      <c r="E5" s="10" t="s">
        <v>379</v>
      </c>
      <c r="F5" s="9" t="s">
        <v>637</v>
      </c>
      <c r="G5" s="10" t="s">
        <v>709</v>
      </c>
    </row>
    <row r="6" customFormat="false" ht="15" hidden="false" customHeight="false" outlineLevel="0" collapsed="false">
      <c r="A6" s="9" t="s">
        <v>704</v>
      </c>
      <c r="B6" s="9" t="s">
        <v>705</v>
      </c>
      <c r="C6" s="9" t="s">
        <v>708</v>
      </c>
      <c r="D6" s="9" t="s">
        <v>196</v>
      </c>
      <c r="E6" s="10" t="s">
        <v>372</v>
      </c>
      <c r="F6" s="9" t="s">
        <v>648</v>
      </c>
      <c r="G6" s="10" t="s">
        <v>710</v>
      </c>
    </row>
    <row r="7" customFormat="false" ht="15" hidden="false" customHeight="false" outlineLevel="0" collapsed="false">
      <c r="A7" s="9" t="s">
        <v>704</v>
      </c>
      <c r="B7" s="9" t="s">
        <v>705</v>
      </c>
      <c r="C7" s="9" t="s">
        <v>578</v>
      </c>
      <c r="D7" s="9" t="s">
        <v>158</v>
      </c>
      <c r="E7" s="10" t="s">
        <v>324</v>
      </c>
      <c r="F7" s="9" t="s">
        <v>620</v>
      </c>
      <c r="G7" s="10" t="s">
        <v>711</v>
      </c>
    </row>
    <row r="8" customFormat="false" ht="15" hidden="false" customHeight="false" outlineLevel="0" collapsed="false">
      <c r="A8" s="9" t="s">
        <v>704</v>
      </c>
      <c r="B8" s="9" t="s">
        <v>705</v>
      </c>
      <c r="C8" s="9" t="s">
        <v>712</v>
      </c>
      <c r="D8" s="9" t="s">
        <v>277</v>
      </c>
      <c r="E8" s="10" t="s">
        <v>685</v>
      </c>
      <c r="F8" s="9" t="s">
        <v>682</v>
      </c>
      <c r="G8" s="10" t="s">
        <v>713</v>
      </c>
    </row>
    <row r="9" customFormat="false" ht="15" hidden="false" customHeight="false" outlineLevel="0" collapsed="false">
      <c r="A9" s="9" t="s">
        <v>714</v>
      </c>
      <c r="B9" s="9" t="s">
        <v>715</v>
      </c>
      <c r="C9" s="9" t="s">
        <v>716</v>
      </c>
      <c r="D9" s="9" t="s">
        <v>213</v>
      </c>
      <c r="E9" s="10" t="s">
        <v>395</v>
      </c>
      <c r="F9" s="9" t="s">
        <v>578</v>
      </c>
      <c r="G9" s="10" t="s">
        <v>717</v>
      </c>
    </row>
    <row r="10" customFormat="false" ht="15" hidden="false" customHeight="false" outlineLevel="0" collapsed="false">
      <c r="A10" s="9" t="s">
        <v>714</v>
      </c>
      <c r="B10" s="9" t="s">
        <v>715</v>
      </c>
      <c r="C10" s="9" t="s">
        <v>716</v>
      </c>
      <c r="D10" s="9" t="s">
        <v>247</v>
      </c>
      <c r="E10" s="10" t="s">
        <v>718</v>
      </c>
      <c r="F10" s="9" t="s">
        <v>659</v>
      </c>
      <c r="G10" s="10" t="s">
        <v>719</v>
      </c>
    </row>
    <row r="11" customFormat="false" ht="15" hidden="false" customHeight="false" outlineLevel="0" collapsed="false">
      <c r="A11" s="9" t="s">
        <v>714</v>
      </c>
      <c r="B11" s="9" t="s">
        <v>715</v>
      </c>
      <c r="C11" s="9" t="s">
        <v>578</v>
      </c>
      <c r="D11" s="9" t="s">
        <v>217</v>
      </c>
      <c r="E11" s="10" t="s">
        <v>720</v>
      </c>
      <c r="F11" s="9" t="s">
        <v>721</v>
      </c>
      <c r="G11" s="10" t="s">
        <v>722</v>
      </c>
    </row>
    <row r="12" customFormat="false" ht="15" hidden="false" customHeight="false" outlineLevel="0" collapsed="false">
      <c r="A12" s="9" t="s">
        <v>723</v>
      </c>
      <c r="B12" s="9" t="s">
        <v>724</v>
      </c>
      <c r="C12" s="9" t="s">
        <v>725</v>
      </c>
      <c r="D12" s="9" t="s">
        <v>192</v>
      </c>
      <c r="E12" s="10" t="s">
        <v>726</v>
      </c>
      <c r="F12" s="9" t="s">
        <v>578</v>
      </c>
      <c r="G12" s="10" t="s">
        <v>727</v>
      </c>
    </row>
    <row r="13" customFormat="false" ht="15" hidden="false" customHeight="false" outlineLevel="0" collapsed="false">
      <c r="A13" s="9" t="s">
        <v>723</v>
      </c>
      <c r="B13" s="9" t="s">
        <v>724</v>
      </c>
      <c r="C13" s="9" t="s">
        <v>728</v>
      </c>
      <c r="D13" s="9" t="s">
        <v>251</v>
      </c>
      <c r="E13" s="10" t="s">
        <v>729</v>
      </c>
      <c r="F13" s="9" t="s">
        <v>578</v>
      </c>
      <c r="G13" s="10" t="s">
        <v>730</v>
      </c>
    </row>
    <row r="14" customFormat="false" ht="15" hidden="false" customHeight="false" outlineLevel="0" collapsed="false">
      <c r="A14" s="9" t="s">
        <v>723</v>
      </c>
      <c r="B14" s="9" t="s">
        <v>724</v>
      </c>
      <c r="C14" s="9" t="s">
        <v>731</v>
      </c>
      <c r="D14" s="9" t="s">
        <v>256</v>
      </c>
      <c r="E14" s="10" t="s">
        <v>453</v>
      </c>
      <c r="F14" s="9" t="s">
        <v>578</v>
      </c>
      <c r="G14" s="10" t="s">
        <v>732</v>
      </c>
    </row>
    <row r="15" customFormat="false" ht="15" hidden="false" customHeight="false" outlineLevel="0" collapsed="false">
      <c r="A15" s="9" t="s">
        <v>733</v>
      </c>
      <c r="B15" s="9" t="s">
        <v>734</v>
      </c>
      <c r="C15" s="9" t="s">
        <v>735</v>
      </c>
      <c r="D15" s="9" t="s">
        <v>225</v>
      </c>
      <c r="E15" s="10" t="s">
        <v>736</v>
      </c>
      <c r="F15" s="9" t="s">
        <v>671</v>
      </c>
      <c r="G15" s="10" t="s">
        <v>737</v>
      </c>
    </row>
    <row r="16" customFormat="false" ht="15" hidden="false" customHeight="false" outlineLevel="0" collapsed="false">
      <c r="A16" s="9" t="s">
        <v>733</v>
      </c>
      <c r="B16" s="9" t="s">
        <v>734</v>
      </c>
      <c r="C16" s="9" t="s">
        <v>735</v>
      </c>
      <c r="D16" s="9" t="s">
        <v>230</v>
      </c>
      <c r="E16" s="10" t="s">
        <v>738</v>
      </c>
      <c r="F16" s="9" t="s">
        <v>671</v>
      </c>
      <c r="G16" s="10" t="s">
        <v>739</v>
      </c>
    </row>
    <row r="17" customFormat="false" ht="15" hidden="false" customHeight="false" outlineLevel="0" collapsed="false">
      <c r="A17" s="9" t="s">
        <v>733</v>
      </c>
      <c r="B17" s="9" t="s">
        <v>734</v>
      </c>
      <c r="C17" s="9" t="s">
        <v>578</v>
      </c>
      <c r="D17" s="9" t="s">
        <v>230</v>
      </c>
      <c r="E17" s="10" t="s">
        <v>420</v>
      </c>
      <c r="F17" s="9" t="s">
        <v>578</v>
      </c>
      <c r="G17" s="10" t="s">
        <v>740</v>
      </c>
    </row>
    <row r="18" customFormat="false" ht="15" hidden="false" customHeight="false" outlineLevel="0" collapsed="false">
      <c r="A18" s="9" t="s">
        <v>741</v>
      </c>
      <c r="B18" s="9" t="s">
        <v>742</v>
      </c>
      <c r="C18" s="9" t="s">
        <v>743</v>
      </c>
      <c r="D18" s="9" t="s">
        <v>142</v>
      </c>
      <c r="E18" s="10" t="s">
        <v>307</v>
      </c>
      <c r="F18" s="9" t="s">
        <v>578</v>
      </c>
      <c r="G18" s="10" t="s">
        <v>744</v>
      </c>
    </row>
    <row r="19" customFormat="false" ht="15" hidden="false" customHeight="false" outlineLevel="0" collapsed="false">
      <c r="A19" s="9" t="s">
        <v>741</v>
      </c>
      <c r="B19" s="9" t="s">
        <v>742</v>
      </c>
      <c r="C19" s="9" t="s">
        <v>578</v>
      </c>
      <c r="D19" s="9" t="s">
        <v>268</v>
      </c>
      <c r="E19" s="10" t="s">
        <v>745</v>
      </c>
      <c r="F19" s="9" t="s">
        <v>578</v>
      </c>
      <c r="G19" s="10" t="s">
        <v>746</v>
      </c>
    </row>
    <row r="20" customFormat="false" ht="15" hidden="false" customHeight="false" outlineLevel="0" collapsed="false">
      <c r="A20" s="9" t="s">
        <v>741</v>
      </c>
      <c r="B20" s="9" t="s">
        <v>742</v>
      </c>
      <c r="C20" s="9" t="s">
        <v>578</v>
      </c>
      <c r="D20" s="9" t="s">
        <v>273</v>
      </c>
      <c r="E20" s="10" t="s">
        <v>747</v>
      </c>
      <c r="F20" s="9" t="s">
        <v>659</v>
      </c>
      <c r="G20" s="10" t="s">
        <v>748</v>
      </c>
    </row>
    <row r="21" customFormat="false" ht="15" hidden="false" customHeight="false" outlineLevel="0" collapsed="false">
      <c r="A21" s="9" t="s">
        <v>741</v>
      </c>
      <c r="B21" s="9" t="s">
        <v>742</v>
      </c>
      <c r="C21" s="9" t="s">
        <v>743</v>
      </c>
      <c r="D21" s="9" t="s">
        <v>290</v>
      </c>
      <c r="E21" s="10" t="s">
        <v>749</v>
      </c>
      <c r="F21" s="9" t="s">
        <v>678</v>
      </c>
      <c r="G21" s="10" t="s">
        <v>750</v>
      </c>
    </row>
    <row r="22" customFormat="false" ht="15" hidden="false" customHeight="false" outlineLevel="0" collapsed="false">
      <c r="A22" s="9" t="s">
        <v>751</v>
      </c>
      <c r="B22" s="9" t="s">
        <v>752</v>
      </c>
      <c r="C22" s="9" t="s">
        <v>578</v>
      </c>
      <c r="D22" s="9" t="s">
        <v>281</v>
      </c>
      <c r="E22" s="10" t="s">
        <v>753</v>
      </c>
      <c r="F22" s="9" t="s">
        <v>686</v>
      </c>
      <c r="G22" s="10" t="s">
        <v>754</v>
      </c>
    </row>
    <row r="23" customFormat="false" ht="15" hidden="false" customHeight="false" outlineLevel="0" collapsed="false">
      <c r="A23" s="9" t="s">
        <v>751</v>
      </c>
      <c r="B23" s="9" t="s">
        <v>755</v>
      </c>
      <c r="C23" s="9" t="s">
        <v>578</v>
      </c>
      <c r="D23" s="9" t="s">
        <v>286</v>
      </c>
      <c r="E23" s="10" t="s">
        <v>353</v>
      </c>
      <c r="F23" s="9" t="s">
        <v>578</v>
      </c>
      <c r="G23" s="10" t="s">
        <v>756</v>
      </c>
    </row>
    <row r="24" customFormat="false" ht="15" hidden="false" customHeight="false" outlineLevel="0" collapsed="false">
      <c r="A24" s="9" t="s">
        <v>751</v>
      </c>
      <c r="B24" s="9" t="s">
        <v>757</v>
      </c>
      <c r="C24" s="9" t="s">
        <v>578</v>
      </c>
      <c r="D24" s="9" t="s">
        <v>158</v>
      </c>
      <c r="E24" s="10" t="s">
        <v>623</v>
      </c>
      <c r="F24" s="9" t="s">
        <v>758</v>
      </c>
      <c r="G24" s="10" t="s">
        <v>759</v>
      </c>
    </row>
  </sheetData>
  <autoFilter ref="A1:G24"/>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12"/>
    <col collapsed="false" customWidth="true" hidden="false" outlineLevel="0" max="3" min="3" style="0" width="62"/>
    <col collapsed="false" customWidth="true" hidden="false" outlineLevel="0" max="4" min="4" style="0" width="22"/>
    <col collapsed="false" customWidth="true" hidden="false" outlineLevel="0" max="5" min="5" style="0" width="30"/>
    <col collapsed="false" customWidth="true" hidden="false" outlineLevel="0" max="6" min="6" style="0" width="16"/>
  </cols>
  <sheetData>
    <row r="1" customFormat="false" ht="15" hidden="false" customHeight="false" outlineLevel="0" collapsed="false">
      <c r="A1" s="8" t="s">
        <v>760</v>
      </c>
      <c r="B1" s="8" t="s">
        <v>761</v>
      </c>
      <c r="C1" s="8" t="s">
        <v>762</v>
      </c>
      <c r="D1" s="8" t="s">
        <v>763</v>
      </c>
      <c r="E1" s="8" t="s">
        <v>764</v>
      </c>
      <c r="F1" s="8" t="s">
        <v>133</v>
      </c>
    </row>
    <row r="2" customFormat="false" ht="15" hidden="false" customHeight="false" outlineLevel="0" collapsed="false">
      <c r="A2" s="9" t="s">
        <v>765</v>
      </c>
      <c r="B2" s="9" t="s">
        <v>766</v>
      </c>
      <c r="C2" s="10" t="s">
        <v>767</v>
      </c>
      <c r="D2" s="12" t="s">
        <v>768</v>
      </c>
      <c r="E2" s="9" t="s">
        <v>769</v>
      </c>
      <c r="F2" s="12" t="s">
        <v>140</v>
      </c>
    </row>
    <row r="3" customFormat="false" ht="15" hidden="false" customHeight="false" outlineLevel="0" collapsed="false">
      <c r="A3" s="9" t="s">
        <v>765</v>
      </c>
      <c r="B3" s="9" t="s">
        <v>770</v>
      </c>
      <c r="C3" s="10" t="s">
        <v>771</v>
      </c>
      <c r="D3" s="12" t="s">
        <v>772</v>
      </c>
      <c r="E3" s="9" t="s">
        <v>773</v>
      </c>
      <c r="F3" s="12" t="s">
        <v>140</v>
      </c>
    </row>
    <row r="4" customFormat="false" ht="15" hidden="false" customHeight="false" outlineLevel="0" collapsed="false">
      <c r="A4" s="9" t="s">
        <v>765</v>
      </c>
      <c r="B4" s="9" t="s">
        <v>774</v>
      </c>
      <c r="C4" s="10" t="s">
        <v>775</v>
      </c>
      <c r="D4" s="12" t="s">
        <v>776</v>
      </c>
      <c r="E4" s="9" t="s">
        <v>777</v>
      </c>
      <c r="F4" s="12" t="s">
        <v>140</v>
      </c>
    </row>
    <row r="5" customFormat="false" ht="15" hidden="false" customHeight="false" outlineLevel="0" collapsed="false">
      <c r="A5" s="9" t="s">
        <v>765</v>
      </c>
      <c r="B5" s="9" t="s">
        <v>778</v>
      </c>
      <c r="C5" s="10" t="s">
        <v>779</v>
      </c>
      <c r="D5" s="12" t="s">
        <v>776</v>
      </c>
      <c r="E5" s="9" t="s">
        <v>780</v>
      </c>
      <c r="F5" s="12" t="s">
        <v>140</v>
      </c>
    </row>
    <row r="6" customFormat="false" ht="15" hidden="false" customHeight="false" outlineLevel="0" collapsed="false">
      <c r="A6" s="9" t="s">
        <v>765</v>
      </c>
      <c r="B6" s="9" t="s">
        <v>781</v>
      </c>
      <c r="C6" s="10" t="s">
        <v>782</v>
      </c>
      <c r="D6" s="12" t="s">
        <v>783</v>
      </c>
      <c r="E6" s="9" t="s">
        <v>784</v>
      </c>
      <c r="F6" s="12" t="s">
        <v>140</v>
      </c>
    </row>
    <row r="7" customFormat="false" ht="15" hidden="false" customHeight="false" outlineLevel="0" collapsed="false">
      <c r="A7" s="9" t="s">
        <v>765</v>
      </c>
      <c r="B7" s="9" t="s">
        <v>785</v>
      </c>
      <c r="C7" s="10" t="s">
        <v>786</v>
      </c>
      <c r="D7" s="12" t="s">
        <v>768</v>
      </c>
      <c r="E7" s="9" t="s">
        <v>787</v>
      </c>
      <c r="F7" s="12" t="s">
        <v>140</v>
      </c>
    </row>
    <row r="8" customFormat="false" ht="15" hidden="false" customHeight="false" outlineLevel="0" collapsed="false">
      <c r="A8" s="9" t="s">
        <v>788</v>
      </c>
      <c r="B8" s="9" t="s">
        <v>789</v>
      </c>
      <c r="C8" s="10" t="s">
        <v>790</v>
      </c>
      <c r="D8" s="12" t="s">
        <v>791</v>
      </c>
      <c r="E8" s="9" t="s">
        <v>792</v>
      </c>
      <c r="F8" s="12" t="s">
        <v>140</v>
      </c>
    </row>
    <row r="9" customFormat="false" ht="15" hidden="false" customHeight="false" outlineLevel="0" collapsed="false">
      <c r="A9" s="9" t="s">
        <v>788</v>
      </c>
      <c r="B9" s="9" t="s">
        <v>789</v>
      </c>
      <c r="C9" s="10" t="s">
        <v>793</v>
      </c>
      <c r="D9" s="12" t="s">
        <v>772</v>
      </c>
      <c r="E9" s="9" t="s">
        <v>794</v>
      </c>
      <c r="F9" s="12" t="s">
        <v>140</v>
      </c>
    </row>
    <row r="10" customFormat="false" ht="15" hidden="false" customHeight="false" outlineLevel="0" collapsed="false">
      <c r="A10" s="9" t="s">
        <v>788</v>
      </c>
      <c r="B10" s="9" t="s">
        <v>795</v>
      </c>
      <c r="C10" s="10" t="s">
        <v>796</v>
      </c>
      <c r="D10" s="12" t="s">
        <v>797</v>
      </c>
      <c r="E10" s="9" t="s">
        <v>798</v>
      </c>
      <c r="F10" s="12" t="s">
        <v>140</v>
      </c>
    </row>
    <row r="11" customFormat="false" ht="15" hidden="false" customHeight="false" outlineLevel="0" collapsed="false">
      <c r="A11" s="9" t="s">
        <v>788</v>
      </c>
      <c r="B11" s="9" t="s">
        <v>799</v>
      </c>
      <c r="C11" s="10" t="s">
        <v>800</v>
      </c>
      <c r="D11" s="12" t="s">
        <v>797</v>
      </c>
      <c r="E11" s="9" t="s">
        <v>801</v>
      </c>
      <c r="F11" s="12" t="s">
        <v>140</v>
      </c>
    </row>
    <row r="12" customFormat="false" ht="15" hidden="false" customHeight="false" outlineLevel="0" collapsed="false">
      <c r="A12" s="9" t="s">
        <v>788</v>
      </c>
      <c r="B12" s="9" t="s">
        <v>802</v>
      </c>
      <c r="C12" s="10" t="s">
        <v>803</v>
      </c>
      <c r="D12" s="12" t="s">
        <v>791</v>
      </c>
      <c r="E12" s="9" t="s">
        <v>804</v>
      </c>
      <c r="F12" s="12" t="s">
        <v>140</v>
      </c>
    </row>
    <row r="13" customFormat="false" ht="15" hidden="false" customHeight="false" outlineLevel="0" collapsed="false">
      <c r="A13" s="9" t="s">
        <v>788</v>
      </c>
      <c r="B13" s="9" t="s">
        <v>805</v>
      </c>
      <c r="C13" s="10" t="s">
        <v>806</v>
      </c>
      <c r="D13" s="12" t="s">
        <v>768</v>
      </c>
      <c r="E13" s="9" t="s">
        <v>807</v>
      </c>
      <c r="F13" s="12" t="s">
        <v>140</v>
      </c>
    </row>
    <row r="14" customFormat="false" ht="15" hidden="false" customHeight="false" outlineLevel="0" collapsed="false">
      <c r="A14" s="9" t="s">
        <v>788</v>
      </c>
      <c r="B14" s="9" t="s">
        <v>808</v>
      </c>
      <c r="C14" s="10" t="s">
        <v>809</v>
      </c>
      <c r="D14" s="12" t="s">
        <v>810</v>
      </c>
      <c r="E14" s="9" t="s">
        <v>811</v>
      </c>
      <c r="F14" s="12" t="s">
        <v>140</v>
      </c>
    </row>
  </sheetData>
  <autoFilter ref="A1:F14"/>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54"/>
    <col collapsed="false" customWidth="true" hidden="false" outlineLevel="0" max="4" min="3" style="0" width="14"/>
    <col collapsed="false" customWidth="true" hidden="false" outlineLevel="0" max="5" min="5" style="0" width="88"/>
  </cols>
  <sheetData>
    <row r="1" customFormat="false" ht="15" hidden="false" customHeight="false" outlineLevel="0" collapsed="false">
      <c r="A1" s="8" t="s">
        <v>53</v>
      </c>
      <c r="B1" s="8" t="s">
        <v>812</v>
      </c>
      <c r="C1" s="8" t="s">
        <v>813</v>
      </c>
      <c r="D1" s="8" t="s">
        <v>814</v>
      </c>
      <c r="E1" s="8" t="s">
        <v>815</v>
      </c>
    </row>
    <row r="2" customFormat="false" ht="15" hidden="false" customHeight="false" outlineLevel="0" collapsed="false">
      <c r="A2" s="9" t="s">
        <v>816</v>
      </c>
      <c r="B2" s="10" t="s">
        <v>817</v>
      </c>
      <c r="C2" s="9" t="s">
        <v>64</v>
      </c>
      <c r="D2" s="9" t="s">
        <v>64</v>
      </c>
      <c r="E2" s="10" t="s">
        <v>818</v>
      </c>
    </row>
    <row r="3" customFormat="false" ht="15" hidden="false" customHeight="false" outlineLevel="0" collapsed="false">
      <c r="A3" s="9" t="s">
        <v>819</v>
      </c>
      <c r="B3" s="10" t="s">
        <v>820</v>
      </c>
      <c r="C3" s="9" t="s">
        <v>64</v>
      </c>
      <c r="D3" s="9" t="s">
        <v>79</v>
      </c>
      <c r="E3" s="10" t="s">
        <v>821</v>
      </c>
    </row>
    <row r="4" customFormat="false" ht="15" hidden="false" customHeight="false" outlineLevel="0" collapsed="false">
      <c r="A4" s="9" t="s">
        <v>822</v>
      </c>
      <c r="B4" s="10" t="s">
        <v>823</v>
      </c>
      <c r="C4" s="9" t="s">
        <v>79</v>
      </c>
      <c r="D4" s="9" t="s">
        <v>824</v>
      </c>
      <c r="E4" s="10" t="s">
        <v>825</v>
      </c>
    </row>
    <row r="5" customFormat="false" ht="15" hidden="false" customHeight="false" outlineLevel="0" collapsed="false">
      <c r="A5" s="9" t="s">
        <v>826</v>
      </c>
      <c r="B5" s="10" t="s">
        <v>827</v>
      </c>
      <c r="C5" s="9" t="s">
        <v>79</v>
      </c>
      <c r="D5" s="9" t="s">
        <v>74</v>
      </c>
      <c r="E5" s="10" t="s">
        <v>828</v>
      </c>
    </row>
    <row r="6" customFormat="false" ht="15" hidden="false" customHeight="false" outlineLevel="0" collapsed="false">
      <c r="A6" s="9" t="s">
        <v>829</v>
      </c>
      <c r="B6" s="10" t="s">
        <v>830</v>
      </c>
      <c r="C6" s="9" t="s">
        <v>64</v>
      </c>
      <c r="D6" s="9" t="s">
        <v>64</v>
      </c>
      <c r="E6" s="10" t="s">
        <v>831</v>
      </c>
    </row>
    <row r="7" customFormat="false" ht="15" hidden="false" customHeight="false" outlineLevel="0" collapsed="false">
      <c r="A7" s="9" t="s">
        <v>832</v>
      </c>
      <c r="B7" s="10" t="s">
        <v>833</v>
      </c>
      <c r="C7" s="9" t="s">
        <v>79</v>
      </c>
      <c r="D7" s="9" t="s">
        <v>79</v>
      </c>
      <c r="E7" s="10" t="s">
        <v>834</v>
      </c>
    </row>
    <row r="8" customFormat="false" ht="15" hidden="false" customHeight="false" outlineLevel="0" collapsed="false">
      <c r="A8" s="9" t="s">
        <v>835</v>
      </c>
      <c r="B8" s="10" t="s">
        <v>836</v>
      </c>
      <c r="C8" s="9" t="s">
        <v>74</v>
      </c>
      <c r="D8" s="9" t="s">
        <v>64</v>
      </c>
      <c r="E8" s="10" t="s">
        <v>837</v>
      </c>
    </row>
  </sheetData>
  <autoFilter ref="A1:E8"/>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2026-08-20T04:00:58Z</dcterms:created>
  <dc:creator>openpyxl</dc:creator>
  <dc:description/>
  <dc:language>en-US</dc:language>
  <cp:lastModifiedBy/>
  <dcterms:modified xsi:type="dcterms:W3CDTF">2026-08-20T04:00:58Z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